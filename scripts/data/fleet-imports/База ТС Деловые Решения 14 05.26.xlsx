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пк\Desktop\"/>
    </mc:Choice>
  </mc:AlternateContent>
  <xr:revisionPtr revIDLastSave="0" documentId="13_ncr:1_{A4DE43C5-6AB4-4A44-A09C-3E903BBCDF4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БАЗА" sheetId="1" r:id="rId1"/>
    <sheet name="Лист1" sheetId="11" r:id="rId2"/>
    <sheet name="самосвалы" sheetId="9" r:id="rId3"/>
    <sheet name="остатки ГСМ" sheetId="6" r:id="rId4"/>
    <sheet name="ремонты" sheetId="5" r:id="rId5"/>
    <sheet name="Лист1 (2)" sheetId="10" r:id="rId6"/>
    <sheet name="бирка на карту" sheetId="8" r:id="rId7"/>
    <sheet name="бирка папка" sheetId="7" r:id="rId8"/>
    <sheet name="бирка ключи" sheetId="4" r:id="rId9"/>
    <sheet name="тралы" sheetId="2" r:id="rId10"/>
    <sheet name="БАЗА (2)" sheetId="12" r:id="rId11"/>
  </sheets>
  <definedNames>
    <definedName name="_xlnm._FilterDatabase" localSheetId="0" hidden="1">БАЗА!$B$1:$X$90</definedName>
    <definedName name="_xlnm._FilterDatabase" localSheetId="10" hidden="1">'БАЗА (2)'!$B$1:$G$89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9" i="12" l="1"/>
  <c r="A75" i="12"/>
  <c r="A76" i="12" s="1"/>
  <c r="A77" i="12" s="1"/>
  <c r="A78" i="12" s="1"/>
  <c r="A79" i="12" s="1"/>
  <c r="A80" i="12" s="1"/>
  <c r="A81" i="12" s="1"/>
  <c r="A82" i="12" s="1"/>
  <c r="A70" i="12"/>
  <c r="A72" i="12" s="1"/>
  <c r="A66" i="12"/>
  <c r="A67" i="12" s="1"/>
  <c r="A68" i="12" s="1"/>
  <c r="A61" i="12"/>
  <c r="A62" i="12" s="1"/>
  <c r="A63" i="12" s="1"/>
  <c r="A34" i="12"/>
  <c r="A35" i="12" s="1"/>
  <c r="A36" i="12" s="1"/>
  <c r="A37" i="12" s="1"/>
  <c r="A38" i="12" s="1"/>
  <c r="A39" i="12" s="1"/>
  <c r="A40" i="12" s="1"/>
  <c r="A41" i="12" s="1"/>
  <c r="C33" i="12"/>
  <c r="C34" i="12" s="1"/>
  <c r="C35" i="12" s="1"/>
  <c r="C36" i="12" s="1"/>
  <c r="C37" i="12" s="1"/>
  <c r="C38" i="12" s="1"/>
  <c r="C39" i="12" s="1"/>
  <c r="C40" i="12" s="1"/>
  <c r="C41" i="12" s="1"/>
  <c r="C42" i="12" s="1"/>
  <c r="C43" i="12" s="1"/>
  <c r="C12" i="12"/>
  <c r="C13" i="12" s="1"/>
  <c r="C14" i="12" s="1"/>
  <c r="C15" i="12" s="1"/>
  <c r="C16" i="12" s="1"/>
  <c r="C17" i="12" s="1"/>
  <c r="C18" i="12" s="1"/>
  <c r="C19" i="12" s="1"/>
  <c r="C20" i="12" s="1"/>
  <c r="C21" i="12" s="1"/>
  <c r="C22" i="12" s="1"/>
  <c r="A12" i="12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8" i="12"/>
  <c r="A7" i="12"/>
  <c r="C4" i="12"/>
  <c r="C5" i="12" s="1"/>
  <c r="C6" i="12" s="1"/>
  <c r="C7" i="12" s="1"/>
  <c r="C8" i="12" s="1"/>
  <c r="C9" i="12" s="1"/>
  <c r="C33" i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12" i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4" i="1"/>
  <c r="C5" i="1" s="1"/>
  <c r="C6" i="1" s="1"/>
  <c r="C7" i="1" s="1"/>
  <c r="C8" i="1" s="1"/>
  <c r="C9" i="1" s="1"/>
  <c r="C16" i="9"/>
  <c r="C17" i="9"/>
  <c r="C18" i="9" s="1"/>
  <c r="C8" i="9"/>
  <c r="C9" i="9"/>
  <c r="C10" i="9" s="1"/>
  <c r="C11" i="9" s="1"/>
  <c r="C12" i="9" s="1"/>
  <c r="C13" i="9" s="1"/>
  <c r="C14" i="9" s="1"/>
  <c r="C15" i="9" s="1"/>
  <c r="C7" i="9"/>
  <c r="B81" i="5" l="1"/>
  <c r="B82" i="5" s="1"/>
  <c r="B80" i="5"/>
  <c r="B67" i="5"/>
  <c r="B68" i="5" s="1"/>
  <c r="B69" i="5" s="1"/>
  <c r="B70" i="5" s="1"/>
  <c r="B71" i="5" s="1"/>
  <c r="B72" i="5" s="1"/>
  <c r="B73" i="5" s="1"/>
  <c r="B66" i="5"/>
  <c r="B58" i="5"/>
  <c r="B59" i="5" s="1"/>
  <c r="B60" i="5" s="1"/>
  <c r="B61" i="5" s="1"/>
  <c r="B62" i="5" s="1"/>
  <c r="B63" i="5" s="1"/>
  <c r="B53" i="5"/>
  <c r="B54" i="5" s="1"/>
  <c r="B55" i="5" s="1"/>
  <c r="B25" i="5"/>
  <c r="B26" i="5" s="1"/>
  <c r="B27" i="5" s="1"/>
  <c r="B28" i="5" s="1"/>
  <c r="B29" i="5" s="1"/>
  <c r="B30" i="5" s="1"/>
  <c r="B31" i="5" s="1"/>
  <c r="B32" i="5" s="1"/>
  <c r="B4" i="5"/>
  <c r="B5" i="5" s="1"/>
  <c r="B6" i="5" s="1"/>
  <c r="B7" i="5" s="1"/>
  <c r="B8" i="5" s="1"/>
  <c r="B9" i="5" s="1"/>
  <c r="B10" i="5" s="1"/>
  <c r="B11" i="5" s="1"/>
  <c r="B12" i="5" s="1"/>
  <c r="B13" i="5" s="1"/>
  <c r="B14" i="5" s="1"/>
  <c r="J6" i="4"/>
  <c r="J7" i="4" s="1"/>
  <c r="J8" i="4" s="1"/>
  <c r="J9" i="4" s="1"/>
  <c r="J10" i="4" s="1"/>
  <c r="J11" i="4" s="1"/>
  <c r="J12" i="4" s="1"/>
  <c r="J18" i="4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39" i="4"/>
  <c r="J40" i="4" s="1"/>
  <c r="J41" i="4" s="1"/>
  <c r="J42" i="4" s="1"/>
  <c r="J43" i="4" s="1"/>
  <c r="J44" i="4" s="1"/>
  <c r="J45" i="4" s="1"/>
  <c r="J46" i="4" s="1"/>
  <c r="J67" i="4"/>
  <c r="J68" i="4"/>
  <c r="J69" i="4" s="1"/>
  <c r="J72" i="4"/>
  <c r="J73" i="4" s="1"/>
  <c r="J74" i="4" s="1"/>
  <c r="J75" i="4" s="1"/>
  <c r="J76" i="4" s="1"/>
  <c r="J77" i="4" s="1"/>
  <c r="J80" i="4"/>
  <c r="J81" i="4"/>
  <c r="J82" i="4" s="1"/>
  <c r="J83" i="4" s="1"/>
  <c r="J84" i="4" s="1"/>
  <c r="J85" i="4" s="1"/>
  <c r="J86" i="4" s="1"/>
  <c r="J87" i="4" s="1"/>
  <c r="J94" i="4"/>
  <c r="J95" i="4" s="1"/>
  <c r="J96" i="4" s="1"/>
  <c r="A89" i="1"/>
  <c r="A90" i="1" s="1"/>
  <c r="A75" i="1"/>
  <c r="A76" i="1" s="1"/>
  <c r="A77" i="1" s="1"/>
  <c r="A78" i="1" s="1"/>
  <c r="A79" i="1" s="1"/>
  <c r="A80" i="1" s="1"/>
  <c r="A81" i="1" s="1"/>
  <c r="A82" i="1" s="1"/>
  <c r="A66" i="1"/>
  <c r="A67" i="1" s="1"/>
  <c r="A68" i="1" s="1"/>
  <c r="A70" i="1" s="1"/>
  <c r="A71" i="1" s="1"/>
  <c r="A61" i="1"/>
  <c r="A62" i="1" s="1"/>
  <c r="A63" i="1" s="1"/>
  <c r="A34" i="1"/>
  <c r="A35" i="1" s="1"/>
  <c r="A36" i="1" s="1"/>
  <c r="A37" i="1" s="1"/>
  <c r="A38" i="1" s="1"/>
  <c r="A39" i="1" s="1"/>
  <c r="A40" i="1" s="1"/>
  <c r="A41" i="1" s="1"/>
  <c r="A12" i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7" i="1"/>
  <c r="A8" i="1" s="1"/>
</calcChain>
</file>

<file path=xl/sharedStrings.xml><?xml version="1.0" encoding="utf-8"?>
<sst xmlns="http://schemas.openxmlformats.org/spreadsheetml/2006/main" count="2122" uniqueCount="747">
  <si>
    <t>Гос. номер</t>
  </si>
  <si>
    <t>VIN код</t>
  </si>
  <si>
    <t>Год выпуска</t>
  </si>
  <si>
    <t>№ ОСАГО</t>
  </si>
  <si>
    <t>Срок действия ОСАГО</t>
  </si>
  <si>
    <t>Срок действия ГТО</t>
  </si>
  <si>
    <t xml:space="preserve"> тт  </t>
  </si>
  <si>
    <t>Собственник</t>
  </si>
  <si>
    <t>Виды работ</t>
  </si>
  <si>
    <t>Тахографы - СКЗИ</t>
  </si>
  <si>
    <t>Пропуск в Москву</t>
  </si>
  <si>
    <t>ЛК, Окончание лизинга</t>
  </si>
  <si>
    <t>Примечание</t>
  </si>
  <si>
    <t>№ ПТС/ПСМ</t>
  </si>
  <si>
    <t>Бортовое устройство "ПЛАТОН"</t>
  </si>
  <si>
    <t xml:space="preserve"> XUS22278CG0002627</t>
  </si>
  <si>
    <t>XUS3227ARK0002907</t>
  </si>
  <si>
    <t>XUS3227ARK0003018</t>
  </si>
  <si>
    <t xml:space="preserve">Ford Transit 3227AR двойная кабина  </t>
  </si>
  <si>
    <t>X2FXXXESGXKP43412</t>
  </si>
  <si>
    <t xml:space="preserve">Ford Transit </t>
  </si>
  <si>
    <t>X2FXXXESGXKM42540</t>
  </si>
  <si>
    <t xml:space="preserve">GEELY MONJARO </t>
  </si>
  <si>
    <t xml:space="preserve">HAVAL DARGO </t>
  </si>
  <si>
    <t>XTA212140R2478441</t>
  </si>
  <si>
    <t xml:space="preserve">LADA  4X4 </t>
  </si>
  <si>
    <t xml:space="preserve">LADA 4X4  </t>
  </si>
  <si>
    <t>LZZ7CCWDXPC609266</t>
  </si>
  <si>
    <t xml:space="preserve">Sitrak C7H ZZ4186V361HE </t>
  </si>
  <si>
    <t>XW8AN6NX5MH064819</t>
  </si>
  <si>
    <t xml:space="preserve">SKODA Octavia </t>
  </si>
  <si>
    <t>X89503670M0FZ1033</t>
  </si>
  <si>
    <t>XTC652005L1424014</t>
  </si>
  <si>
    <t xml:space="preserve">Автосамосвал КАМАЗ К3340 6520-53  </t>
  </si>
  <si>
    <t>XTC652005L1418059</t>
  </si>
  <si>
    <t>XTC652005L1424011</t>
  </si>
  <si>
    <t xml:space="preserve">Автосамосвал КАМАЗ К3340 6520-53 </t>
  </si>
  <si>
    <t>XTC652005L1423865</t>
  </si>
  <si>
    <t xml:space="preserve">Асфальтоукладчик VOGEL SUPER 1900-2  6 метр </t>
  </si>
  <si>
    <t xml:space="preserve">Асфальтоукладчик VOGEL SUPER 1900-2/1  5 метр </t>
  </si>
  <si>
    <t>Х96А22R32G2656379</t>
  </si>
  <si>
    <t>X96A22R32G2652087</t>
  </si>
  <si>
    <t>X96A22R32E2582297</t>
  </si>
  <si>
    <t>X96A32R32M0915045</t>
  </si>
  <si>
    <t>X96A65R52N0932985</t>
  </si>
  <si>
    <t xml:space="preserve">Газель GAZellIe NN </t>
  </si>
  <si>
    <t>SY0058CC38558/OF5110063N4L70066CK</t>
  </si>
  <si>
    <t>SY0079CC30958/0F5110070N4</t>
  </si>
  <si>
    <t xml:space="preserve">Гусеничный экскаватор SANYSY75C  </t>
  </si>
  <si>
    <t>XTC652005K1407605</t>
  </si>
  <si>
    <t xml:space="preserve">КАМАЗ 6520-53 </t>
  </si>
  <si>
    <t>LGJ6614ETNR 059175</t>
  </si>
  <si>
    <t xml:space="preserve">Каток вибрационный LIUGONG CLG6614E  </t>
  </si>
  <si>
    <t>ACZ16234EN3046027</t>
  </si>
  <si>
    <t>АСZ16234PN3046467</t>
  </si>
  <si>
    <t>H1812561</t>
  </si>
  <si>
    <t xml:space="preserve">Каток дорожный HD110 HAMM AG </t>
  </si>
  <si>
    <t>DM3425</t>
  </si>
  <si>
    <t xml:space="preserve">Каток дорожный самоходный ZDM DM-10-VD </t>
  </si>
  <si>
    <t>DM3419</t>
  </si>
  <si>
    <t xml:space="preserve">Каток дорожный самоходный ZDM ZDM-10-VC  </t>
  </si>
  <si>
    <t>JAFSR200LNM413973</t>
  </si>
  <si>
    <t xml:space="preserve">Колесный мини-погрузчик CASE SR200B </t>
  </si>
  <si>
    <t xml:space="preserve"> JTMCV02J504298364</t>
  </si>
  <si>
    <t xml:space="preserve">МУП-351.ТСТ машина для коммунального хозяйства   </t>
  </si>
  <si>
    <t>567006LDPNB279771</t>
  </si>
  <si>
    <t>NP9ST4FLFP0225021</t>
  </si>
  <si>
    <t xml:space="preserve"> LZGJRDR48HX056545</t>
  </si>
  <si>
    <t xml:space="preserve">Самосвал SHACMAN SX3256DR384   </t>
  </si>
  <si>
    <t>XTC652004H1363638</t>
  </si>
  <si>
    <t xml:space="preserve">Самосвал КАМАЗ 6520-43 </t>
  </si>
  <si>
    <t xml:space="preserve">Т 358 КУ 799 </t>
  </si>
  <si>
    <t xml:space="preserve">Самоходная машина SANY SY155W  </t>
  </si>
  <si>
    <t xml:space="preserve"> 9BSP6X40003888559</t>
  </si>
  <si>
    <t>М949ХУ799</t>
  </si>
  <si>
    <t>H1531477</t>
  </si>
  <si>
    <t xml:space="preserve">СМ КАТОК HAMM HD 090V  </t>
  </si>
  <si>
    <t>101920091188</t>
  </si>
  <si>
    <t xml:space="preserve">СМ КАТОК Дорожный BW 161 AD-4  </t>
  </si>
  <si>
    <t>X89TU1T13R1GP3006</t>
  </si>
  <si>
    <t>13200264</t>
  </si>
  <si>
    <t xml:space="preserve">Фреза дорожная WIRTGEN W210  </t>
  </si>
  <si>
    <t xml:space="preserve">Фронтальный погручик XCMG ZL3OGV XCMG </t>
  </si>
  <si>
    <t>SY0151CC16818/SANWS6706NK004059</t>
  </si>
  <si>
    <t xml:space="preserve">Экскаватор SANY,SY155W </t>
  </si>
  <si>
    <t xml:space="preserve">Экскаватор погрузчик Case 580Т  </t>
  </si>
  <si>
    <t>CAT00428CL7D00383</t>
  </si>
  <si>
    <t xml:space="preserve">Экскаватор-погрузчик Caterpillar 428 </t>
  </si>
  <si>
    <t>567006LDVNB279761</t>
  </si>
  <si>
    <t>Погрузчик фронтальный  ENSIGN  YX635</t>
  </si>
  <si>
    <t>364302002023102 от 03.10.2023</t>
  </si>
  <si>
    <t>364302002022992 от 03.10.2023</t>
  </si>
  <si>
    <t xml:space="preserve">Специальный Автогудронатор РЕГИОН 45 АС-С41R </t>
  </si>
  <si>
    <t xml:space="preserve">Н 421 УА 799 </t>
  </si>
  <si>
    <t>срок временной регистрации до 30.04.2024</t>
  </si>
  <si>
    <t>ООО Деловые решения</t>
  </si>
  <si>
    <t>164301019135264 от 29.01.2021</t>
  </si>
  <si>
    <t>ТС 363659 от 15.02.2024</t>
  </si>
  <si>
    <t>СН 423874 от 12.11.2024</t>
  </si>
  <si>
    <t>Категория</t>
  </si>
  <si>
    <t>С</t>
  </si>
  <si>
    <t>Е</t>
  </si>
  <si>
    <t>В</t>
  </si>
  <si>
    <t>D</t>
  </si>
  <si>
    <t>C</t>
  </si>
  <si>
    <t>364303004380227 от 13.11.2024</t>
  </si>
  <si>
    <t>Асфальтоукладчик VOGEL SUPER 1300 2</t>
  </si>
  <si>
    <t>08110159</t>
  </si>
  <si>
    <t>RU CB 122086 от 27.02.2024</t>
  </si>
  <si>
    <t>№ СТС(СОР), дата постановки на учет</t>
  </si>
  <si>
    <t>СН 414008 от 27.04.2024</t>
  </si>
  <si>
    <t>77 МН 7351</t>
  </si>
  <si>
    <t>Арамян Норайр Геворкович</t>
  </si>
  <si>
    <t>164301041073774 от 13.01.2022</t>
  </si>
  <si>
    <t>Газель GAZelle NEXT</t>
  </si>
  <si>
    <t>B</t>
  </si>
  <si>
    <t>164301022072396 от 16.03.2021</t>
  </si>
  <si>
    <t>164301005701350 от 28.03.2020</t>
  </si>
  <si>
    <t>RU CB  364120 от 15.09.2020</t>
  </si>
  <si>
    <t>77 РМ 6819</t>
  </si>
  <si>
    <t>404(Y4R900Z01L1102335)</t>
  </si>
  <si>
    <t>364302000325340 от 13.01.2023</t>
  </si>
  <si>
    <t>77 ММ 7057</t>
  </si>
  <si>
    <t>164301030400540 от 12.07.2021</t>
  </si>
  <si>
    <t>RU СВ 556917 от 29.04.2020</t>
  </si>
  <si>
    <t>ПСМ копия</t>
  </si>
  <si>
    <t>ТС 347208 от 30.04.2010</t>
  </si>
  <si>
    <t xml:space="preserve">Экскаватор Caterpiliar Inc.318CL </t>
  </si>
  <si>
    <t>CAT0318CJDAH00858</t>
  </si>
  <si>
    <t>ТА 185263 от 14.12.2005</t>
  </si>
  <si>
    <t>364302000202041 от 15.12.2022</t>
  </si>
  <si>
    <t xml:space="preserve"> К 983 ТУ 799</t>
  </si>
  <si>
    <t>164301007545940 от 23.06.2020</t>
  </si>
  <si>
    <t>LGWFF6А53PH938163</t>
  </si>
  <si>
    <t>164302063391873 от 01.06.2023</t>
  </si>
  <si>
    <t>Наименование, марка, модель</t>
  </si>
  <si>
    <t>RU CB 496675 от 10.09.2020</t>
  </si>
  <si>
    <t>77 РЕ 4341</t>
  </si>
  <si>
    <t>СК 147084 от 10.09.2020</t>
  </si>
  <si>
    <t>RU TK 435363 от 22.10.2022</t>
  </si>
  <si>
    <t xml:space="preserve">77 РМ 6820 </t>
  </si>
  <si>
    <t>77 МН 4897</t>
  </si>
  <si>
    <t>77 МН 4901</t>
  </si>
  <si>
    <t>77 РМ 6996</t>
  </si>
  <si>
    <t xml:space="preserve">Гусеничный экскаватор SANY,SY55C  </t>
  </si>
  <si>
    <t>RU TK 436886 от 31.10.2022</t>
  </si>
  <si>
    <t>О 728 СР 799</t>
  </si>
  <si>
    <t>99 58 988034 от 10.11.2023</t>
  </si>
  <si>
    <t>57 УТ 7600554 от 10.11.2023</t>
  </si>
  <si>
    <t>Астоян Азиза Геворковна по ДА</t>
  </si>
  <si>
    <t>Самосвал SHACMAN SX3255DR384</t>
  </si>
  <si>
    <t xml:space="preserve"> LZGJLDR41CX062486</t>
  </si>
  <si>
    <t>45 УТ 505883 от 21.12.2012</t>
  </si>
  <si>
    <t xml:space="preserve">каток дорожный самоходный вибрационный AMMANN, ARX 26 К  </t>
  </si>
  <si>
    <t>СВ 716831 от 25.09.2019</t>
  </si>
  <si>
    <t xml:space="preserve">77 РА 4897 </t>
  </si>
  <si>
    <t>RU TK 188196 от 05.08.2019</t>
  </si>
  <si>
    <t>77 РВ 6800</t>
  </si>
  <si>
    <t>САТ0432FVLYJ00794</t>
  </si>
  <si>
    <t>Экскаватор-погрузчик Caterpillar 432F2</t>
  </si>
  <si>
    <t>СМ 068135 от 10.08.2021</t>
  </si>
  <si>
    <t>RU TK 148722 от 20.04.2018</t>
  </si>
  <si>
    <t>07191989</t>
  </si>
  <si>
    <t>07191650</t>
  </si>
  <si>
    <t>77 РЕ 5812</t>
  </si>
  <si>
    <t>СЕ 896090 от 19.06.2020</t>
  </si>
  <si>
    <t>ТС 825968 от 11.04.2012</t>
  </si>
  <si>
    <t>ООО Газпромбанк автолизинг</t>
  </si>
  <si>
    <t>JAFSR220PJM450990</t>
  </si>
  <si>
    <t xml:space="preserve">Погрузчик фронтальный CASE SR220 </t>
  </si>
  <si>
    <t xml:space="preserve">77 РЕ 4294 </t>
  </si>
  <si>
    <t>СК 147023 от 31.07.2020</t>
  </si>
  <si>
    <t>RU TK 183194 от 27.10.2018</t>
  </si>
  <si>
    <t>Land Rover RANGE ROVER</t>
  </si>
  <si>
    <t>Х 732 УН 777</t>
  </si>
  <si>
    <t>Самосвал SHACMAN SX3256DR384</t>
  </si>
  <si>
    <t xml:space="preserve"> LZGJRDR47HX063924</t>
  </si>
  <si>
    <t>Х 152 НО 799</t>
  </si>
  <si>
    <t>99 40 083262 от 14.04.2022</t>
  </si>
  <si>
    <t>75 УВ 250058 от 30.08.2017</t>
  </si>
  <si>
    <t>O 503 PT 777</t>
  </si>
  <si>
    <t>ГАЗ-А22R32  (грузовой бортовой)</t>
  </si>
  <si>
    <t>77 РЕ 891269 от 27.10.2019</t>
  </si>
  <si>
    <t xml:space="preserve">В 456 АО 797 </t>
  </si>
  <si>
    <t>Х96A22R32E2580173</t>
  </si>
  <si>
    <t>ГАЗ-A22R32 (грузовой с ботром)</t>
  </si>
  <si>
    <t>52 НХ 698254 от 07.04.2014</t>
  </si>
  <si>
    <t>А 497 АС 799</t>
  </si>
  <si>
    <t>ГАЗ А22R32  (грузовой бортовой)</t>
  </si>
  <si>
    <t>Е 789 ТУ 799</t>
  </si>
  <si>
    <t>99 21 466727 от 21.07.2020</t>
  </si>
  <si>
    <t>77 РК 643562 от 21.07.2020</t>
  </si>
  <si>
    <t>Т 189 УВ 777</t>
  </si>
  <si>
    <t>Х96270500В0697236</t>
  </si>
  <si>
    <t>ГАЗ 2705 (грузовой цельнометалический 6 п/мест)</t>
  </si>
  <si>
    <t>99 08 573749 от 26.03.2019</t>
  </si>
  <si>
    <t>Арамян Геворк Карапетович</t>
  </si>
  <si>
    <t>52 НЕ 359389 от 24.05.2011</t>
  </si>
  <si>
    <t xml:space="preserve">Прицеп 71491-0000010-01 </t>
  </si>
  <si>
    <t>Х89714911L0FM4073</t>
  </si>
  <si>
    <t>ПТС не оформлен должным образом</t>
  </si>
  <si>
    <t>Х 287 НО 799</t>
  </si>
  <si>
    <t xml:space="preserve"> LZGJRDR45HX063923</t>
  </si>
  <si>
    <t>74 УВ 250057 от 30.08.2017</t>
  </si>
  <si>
    <t>Х 265 НО 799</t>
  </si>
  <si>
    <t>LZGJRDR42HX063927</t>
  </si>
  <si>
    <t>122000115</t>
  </si>
  <si>
    <t>77 РВ 6822</t>
  </si>
  <si>
    <t xml:space="preserve">Холодная дорожная Фреза WIRTGEN W200  </t>
  </si>
  <si>
    <t>СМ 069314 от 16.09.2021</t>
  </si>
  <si>
    <t>ТС 166873 от 28.05.2013</t>
  </si>
  <si>
    <t>У 197 УУ 77</t>
  </si>
  <si>
    <t>O 002 HE 197</t>
  </si>
  <si>
    <t>164302003239814 от 27.01.2020</t>
  </si>
  <si>
    <t>К 927 ТУ 799</t>
  </si>
  <si>
    <t>164301005353452 от 23.03.2020</t>
  </si>
  <si>
    <t xml:space="preserve">E 390 HP 797 </t>
  </si>
  <si>
    <t>FORD Transit (Автобус)</t>
  </si>
  <si>
    <t>77 ХА 187222 от 09.11.2022</t>
  </si>
  <si>
    <t>Автосамосвал КАМАЗ К3340 6520-53</t>
  </si>
  <si>
    <t>Н 487 АА 977</t>
  </si>
  <si>
    <t>99 43 558435 от 06.10.2022</t>
  </si>
  <si>
    <t>77 ХА 285542 от 06.10.2022</t>
  </si>
  <si>
    <t xml:space="preserve"> К 994 ТУ 799</t>
  </si>
  <si>
    <t>H 443 AA 977</t>
  </si>
  <si>
    <t>К 877 ТУ 799</t>
  </si>
  <si>
    <t>278865 (бортовая платформа)</t>
  </si>
  <si>
    <t>99 43 429325 от 14.06.2022</t>
  </si>
  <si>
    <t>52 ОУ 764439 от 29.06.2018</t>
  </si>
  <si>
    <t>X8B278865J0018642</t>
  </si>
  <si>
    <t>О 035 КН 799</t>
  </si>
  <si>
    <t>99 40 083745 от 15.04.2022</t>
  </si>
  <si>
    <t>77 РН 194287 от 15.04.2022</t>
  </si>
  <si>
    <t>Ford Transit 22278С (авт-ль грузопассажирский)</t>
  </si>
  <si>
    <t xml:space="preserve">У 978 ММ 797 </t>
  </si>
  <si>
    <t>99 60 268899 от 12.08.2023</t>
  </si>
  <si>
    <t>52 00 536579 от 27.12.2016</t>
  </si>
  <si>
    <t>Н 078 АМ 977</t>
  </si>
  <si>
    <t>Астоян Азизиа Геворковна</t>
  </si>
  <si>
    <t>У 526 МН 797</t>
  </si>
  <si>
    <t>Hyundai Sonata легковой</t>
  </si>
  <si>
    <t>Ford Transit 3227AR двойная кабина (БОРТОВАЯ ПЛАТФОРМА)</t>
  </si>
  <si>
    <t>52 РВ 772088 от 03.06.2019</t>
  </si>
  <si>
    <t>77 РЕ 4293</t>
  </si>
  <si>
    <t>FNH0580TNJHH01925</t>
  </si>
  <si>
    <t>СК 147022 от 31.07.2020</t>
  </si>
  <si>
    <t>RU TK 140668 от 25.08.2018</t>
  </si>
  <si>
    <t>77 ММ 7058</t>
  </si>
  <si>
    <t>ПТС копия не оформлен уст порядком</t>
  </si>
  <si>
    <t>99 50 010477 от 14.04.2023</t>
  </si>
  <si>
    <t>ГАЗ 2705 грузовой фургон</t>
  </si>
  <si>
    <t>99 58 197993 от 29.12.2023</t>
  </si>
  <si>
    <t>С 982 ОА 797</t>
  </si>
  <si>
    <t>Х96270500С1744419</t>
  </si>
  <si>
    <t>77 ХА 917046 от 28.12.2023</t>
  </si>
  <si>
    <t>77 ММ 7056</t>
  </si>
  <si>
    <t>СН 076093 от 07.11.2023</t>
  </si>
  <si>
    <t>RU ТК 210631 от 05.12.2020</t>
  </si>
  <si>
    <t xml:space="preserve">Е 335 ВК 977 </t>
  </si>
  <si>
    <t xml:space="preserve">У 479 MC 797 </t>
  </si>
  <si>
    <t>Ford Transit (техпомощь)</t>
  </si>
  <si>
    <t>164301001683489 от 05.12.2019</t>
  </si>
  <si>
    <t>99 50 010476 от 14.14.2023</t>
  </si>
  <si>
    <t>164301007545983 от 23.06.2020</t>
  </si>
  <si>
    <t>ХХ 0555 77</t>
  </si>
  <si>
    <t>164302062316150 от 17.05.2023</t>
  </si>
  <si>
    <t>Specpricep 9942L3 специализированный полуприцеп тяжеловоз</t>
  </si>
  <si>
    <t>Х89994273М0ВА2539</t>
  </si>
  <si>
    <t>164301019313035 от 02.02.2021</t>
  </si>
  <si>
    <t>Каток дорожный AMMANN ARX45-2</t>
  </si>
  <si>
    <t>364302000334734 от 17.01.2023</t>
  </si>
  <si>
    <t>77 ММ 7011</t>
  </si>
  <si>
    <t>Е 344 ВК 977</t>
  </si>
  <si>
    <t>164301000961592 от 18.11.2019</t>
  </si>
  <si>
    <t>99 40 084139 от 18.04.2022</t>
  </si>
  <si>
    <t>М 711 ХУ 799</t>
  </si>
  <si>
    <t xml:space="preserve">Специальная Комбинированная дорожная машина КО-806-01 </t>
  </si>
  <si>
    <t>164301020009665 от 12.02.2021</t>
  </si>
  <si>
    <t>СН 076020 от 18.10.2023</t>
  </si>
  <si>
    <t>364302000568330 от 27.02.2023</t>
  </si>
  <si>
    <t>СН 076021 от 18.10.2023</t>
  </si>
  <si>
    <t xml:space="preserve">77 ММ 7010 </t>
  </si>
  <si>
    <t>364302000268107 от 28.12.2022</t>
  </si>
  <si>
    <t>SY0151CC25018/SANWS6701NK004339</t>
  </si>
  <si>
    <t xml:space="preserve">Т 171 СС 750 </t>
  </si>
  <si>
    <t>50 60 733619 от 07.08.2018</t>
  </si>
  <si>
    <t>ГАЗ-А22R32 Платформа с каркасом и тентом</t>
  </si>
  <si>
    <t>52 НХ 713832 от 29.04.2014</t>
  </si>
  <si>
    <t>164301007545994 от 23.06.2020</t>
  </si>
  <si>
    <t>99 50 087874 от 08.11.2023</t>
  </si>
  <si>
    <t>50 РМ 428576 от 15.07.2020</t>
  </si>
  <si>
    <t>СН 076022 от 18.10.2023</t>
  </si>
  <si>
    <t>СН 085432 от 14.02.2024</t>
  </si>
  <si>
    <t>77 MM 7009</t>
  </si>
  <si>
    <t>364302000816116 от 31.03.2023</t>
  </si>
  <si>
    <t>52 РК 612877 от 27.03.2020</t>
  </si>
  <si>
    <t>не наш</t>
  </si>
  <si>
    <t>99 59 397408 от 25.07.2023</t>
  </si>
  <si>
    <t>99 61 430879 от 19.19.2023</t>
  </si>
  <si>
    <t>99 61 430881 от 19.09.2023</t>
  </si>
  <si>
    <t>СН 414784 от 15.15.2024</t>
  </si>
  <si>
    <t>СН 416721 от 02.07.2024</t>
  </si>
  <si>
    <t>СН 085436 от 14.02.2024</t>
  </si>
  <si>
    <t>СН 076019 от 18.10.2023</t>
  </si>
  <si>
    <t>СН 076094 от 07.11.2023</t>
  </si>
  <si>
    <t>СН 085504 от 20.02.2024</t>
  </si>
  <si>
    <t>СН 423862 от 08.11.2024</t>
  </si>
  <si>
    <t>СН 416816 от 09.07.2024</t>
  </si>
  <si>
    <t>SY0151СС28158/SANWS6706NK004367</t>
  </si>
  <si>
    <t>SY0151CC25368/SANW6706NK004361</t>
  </si>
  <si>
    <t>77 МН 8101</t>
  </si>
  <si>
    <t>ХХХ 0477315793</t>
  </si>
  <si>
    <t xml:space="preserve">Н 680 В0 977 </t>
  </si>
  <si>
    <t>ООО Ресо лизинг</t>
  </si>
  <si>
    <t>ООО Ресо Лизинг</t>
  </si>
  <si>
    <t>99 63 809225 от 17.07.2024</t>
  </si>
  <si>
    <t>ХХХ 0428733606</t>
  </si>
  <si>
    <t>АО Дойче финанс восток</t>
  </si>
  <si>
    <t>АО ВТБ Лизинг</t>
  </si>
  <si>
    <t>Н 152 ЕТ 977</t>
  </si>
  <si>
    <t xml:space="preserve">Специальный, грузовой бортовой оснащенный краном-манипулятором NY-T13 FOTON 3006A7Н </t>
  </si>
  <si>
    <t>ХХХ 0375159507</t>
  </si>
  <si>
    <t>16 ОС 311022</t>
  </si>
  <si>
    <t>XTC652005К1409565(6)</t>
  </si>
  <si>
    <t>ХХХ 0454170680</t>
  </si>
  <si>
    <t>ХХХ 0445778295</t>
  </si>
  <si>
    <t>ХХХ 0445486557</t>
  </si>
  <si>
    <t>ХХХ 0445778198</t>
  </si>
  <si>
    <t>ХХХ 0445778203</t>
  </si>
  <si>
    <t>ЕО 7112 77</t>
  </si>
  <si>
    <t>99 47 749208 от 15.03.2023</t>
  </si>
  <si>
    <t>застраховать в марте 25</t>
  </si>
  <si>
    <t xml:space="preserve">Н 900 В0 977 </t>
  </si>
  <si>
    <t>ХХХ 0445778288</t>
  </si>
  <si>
    <t>77 МН 8147</t>
  </si>
  <si>
    <t>77 ММ 7012</t>
  </si>
  <si>
    <t>Volkswagen CADDY</t>
  </si>
  <si>
    <t>WV1ZZZ2KZEX098108</t>
  </si>
  <si>
    <t>А 026 ХС 799</t>
  </si>
  <si>
    <t>99 26 431441</t>
  </si>
  <si>
    <r>
      <rPr>
        <sz val="11"/>
        <color rgb="FFFF0000"/>
        <rFont val="Times New Roman"/>
        <family val="1"/>
        <charset val="204"/>
      </rPr>
      <t>Z</t>
    </r>
    <r>
      <rPr>
        <sz val="11"/>
        <color theme="1"/>
        <rFont val="Times New Roman"/>
        <family val="1"/>
        <charset val="204"/>
      </rPr>
      <t>6FXXXESGXJJ06015</t>
    </r>
  </si>
  <si>
    <r>
      <t>X5</t>
    </r>
    <r>
      <rPr>
        <sz val="11"/>
        <color rgb="FFFF0000"/>
        <rFont val="Times New Roman"/>
        <family val="1"/>
        <charset val="204"/>
      </rPr>
      <t>H</t>
    </r>
    <r>
      <rPr>
        <sz val="11"/>
        <color theme="1"/>
        <rFont val="Times New Roman"/>
        <family val="1"/>
        <charset val="204"/>
      </rPr>
      <t>806015M0000355</t>
    </r>
  </si>
  <si>
    <r>
      <t>XU</t>
    </r>
    <r>
      <rPr>
        <sz val="11"/>
        <color rgb="FFFF0000"/>
        <rFont val="Times New Roman"/>
        <family val="1"/>
        <charset val="204"/>
      </rPr>
      <t>G</t>
    </r>
    <r>
      <rPr>
        <sz val="11"/>
        <color theme="1"/>
        <rFont val="Times New Roman"/>
        <family val="1"/>
        <charset val="204"/>
      </rPr>
      <t>0300KVNCB20676</t>
    </r>
  </si>
  <si>
    <t>Легковые автомобили</t>
  </si>
  <si>
    <t xml:space="preserve"> TOYOTA LAND CRUISER 200  </t>
  </si>
  <si>
    <t xml:space="preserve"> TOYOTA Camry  </t>
  </si>
  <si>
    <t>Kia Sportage</t>
  </si>
  <si>
    <t>Е 881 ТО 790</t>
  </si>
  <si>
    <t>99 58 991525 от 02.02.2024</t>
  </si>
  <si>
    <t xml:space="preserve">Х 316 ОЕ 797 </t>
  </si>
  <si>
    <t xml:space="preserve">О 522 МЕ 797 </t>
  </si>
  <si>
    <t>Н 481 ОУ 797</t>
  </si>
  <si>
    <t>У 602 АЕ 977</t>
  </si>
  <si>
    <t xml:space="preserve"> К 384 ОА 797</t>
  </si>
  <si>
    <t>Малотоннажные автомобили</t>
  </si>
  <si>
    <t>Автобусы</t>
  </si>
  <si>
    <t>Автомобили специальные</t>
  </si>
  <si>
    <t>Самосвалы</t>
  </si>
  <si>
    <t>ПТС копия у жоры он же страхует ее</t>
  </si>
  <si>
    <t>Седельные тягачи</t>
  </si>
  <si>
    <t xml:space="preserve">Х 908 УК 799 </t>
  </si>
  <si>
    <t xml:space="preserve">SCANIA Р400 СА6Х4НSZ Грузовой тягач седельный </t>
  </si>
  <si>
    <t>Полуприцепы (прицепы)</t>
  </si>
  <si>
    <t>Фронтальные погрузчики</t>
  </si>
  <si>
    <t>77 МН 8102</t>
  </si>
  <si>
    <t>Минипогрузчики</t>
  </si>
  <si>
    <t>Экскаваторы погрузчики</t>
  </si>
  <si>
    <t>Экскаваторы</t>
  </si>
  <si>
    <t xml:space="preserve">Колесный экскаватор SANY,SY155W (158) </t>
  </si>
  <si>
    <r>
      <t>Колесный экскаватор SANY,SY</t>
    </r>
    <r>
      <rPr>
        <sz val="9"/>
        <color rgb="FFFF0000"/>
        <rFont val="Times New Roman"/>
        <family val="1"/>
        <charset val="204"/>
      </rPr>
      <t>1</t>
    </r>
    <r>
      <rPr>
        <sz val="9"/>
        <rFont val="Times New Roman"/>
        <family val="1"/>
        <charset val="204"/>
      </rPr>
      <t xml:space="preserve">55W(368) </t>
    </r>
  </si>
  <si>
    <t>77 МН 9524</t>
  </si>
  <si>
    <t xml:space="preserve">77 МН 9525 </t>
  </si>
  <si>
    <t>Катки</t>
  </si>
  <si>
    <t>77 ММ 7013</t>
  </si>
  <si>
    <t>77 МН 9579</t>
  </si>
  <si>
    <t>77 МН 9580</t>
  </si>
  <si>
    <t>Асфальтоукладчики</t>
  </si>
  <si>
    <t>77 РВ 6821</t>
  </si>
  <si>
    <t>Фрезы</t>
  </si>
  <si>
    <t>Чукарин</t>
  </si>
  <si>
    <t>77 РВ 8497</t>
  </si>
  <si>
    <t>77 РВ 6778</t>
  </si>
  <si>
    <t>Caterpillar PM620</t>
  </si>
  <si>
    <t>№№</t>
  </si>
  <si>
    <t>СМ 068353 от25.10.2021</t>
  </si>
  <si>
    <t xml:space="preserve">H 478 BO 977 </t>
  </si>
  <si>
    <t>99 60 268897 от 12.08.2023</t>
  </si>
  <si>
    <t>99 59 397412 от 25.07.2023</t>
  </si>
  <si>
    <t>99 59 398183 от 01.08.2023</t>
  </si>
  <si>
    <t>99 59 398181 от 01.08.2023</t>
  </si>
  <si>
    <t>99 21 384012 от 09.06.2020</t>
  </si>
  <si>
    <t xml:space="preserve">ПРИЦЕП Sinanli Tanker ST4FLF </t>
  </si>
  <si>
    <t>99 61 475803 от 05.10.2023</t>
  </si>
  <si>
    <t xml:space="preserve">127811042401200  </t>
  </si>
  <si>
    <t xml:space="preserve">132511042400950 </t>
  </si>
  <si>
    <t xml:space="preserve"> 21.05.2025</t>
  </si>
  <si>
    <t xml:space="preserve"> 02.2025</t>
  </si>
  <si>
    <t>15.11.2025</t>
  </si>
  <si>
    <t>364301003368764 от 23.05.2024</t>
  </si>
  <si>
    <t>364301002716684 от 02.02.2024</t>
  </si>
  <si>
    <t>364302000299325 от 08.01.2023</t>
  </si>
  <si>
    <t>364302000299622 от 08.01.2023</t>
  </si>
  <si>
    <t>164301092779538 от 27.06.2024</t>
  </si>
  <si>
    <t>127811052401422</t>
  </si>
  <si>
    <t>127811012401650</t>
  </si>
  <si>
    <t>127811052401512</t>
  </si>
  <si>
    <t>127811042401500</t>
  </si>
  <si>
    <t>19.11.2025</t>
  </si>
  <si>
    <t>127811042400858</t>
  </si>
  <si>
    <t>127811042401576</t>
  </si>
  <si>
    <t>127811012401801</t>
  </si>
  <si>
    <t>Виалон</t>
  </si>
  <si>
    <t>Транспондер</t>
  </si>
  <si>
    <t>V</t>
  </si>
  <si>
    <t>нет</t>
  </si>
  <si>
    <t>не нужен</t>
  </si>
  <si>
    <t>закончился</t>
  </si>
  <si>
    <t>нет (обязатнльно)</t>
  </si>
  <si>
    <t>ООО АСС</t>
  </si>
  <si>
    <t>ХХХ 0379791247</t>
  </si>
  <si>
    <t xml:space="preserve">Экскаватор погрузчик Case 570SТ  </t>
  </si>
  <si>
    <t>СН 076018 от 18.10.2023</t>
  </si>
  <si>
    <t>Утеряна СОР</t>
  </si>
  <si>
    <r>
      <t>77 РК 794</t>
    </r>
    <r>
      <rPr>
        <sz val="11"/>
        <color rgb="FFFF0000"/>
        <rFont val="Times New Roman"/>
        <family val="1"/>
        <charset val="204"/>
      </rPr>
      <t>6</t>
    </r>
  </si>
  <si>
    <t>ГРЗ</t>
  </si>
  <si>
    <t>собственник</t>
  </si>
  <si>
    <t>сцепка 1</t>
  </si>
  <si>
    <t>сцепка 2</t>
  </si>
  <si>
    <t>марка \модель тягача (п/прицепа)</t>
  </si>
  <si>
    <t>кол-во оосей</t>
  </si>
  <si>
    <t>длина, см</t>
  </si>
  <si>
    <t>груз-ть,кг</t>
  </si>
  <si>
    <r>
      <rPr>
        <b/>
        <i/>
        <sz val="8"/>
        <color theme="1"/>
        <rFont val="Times New Roman"/>
        <family val="1"/>
        <charset val="204"/>
      </rPr>
      <t>мах</t>
    </r>
    <r>
      <rPr>
        <sz val="8"/>
        <color theme="1"/>
        <rFont val="Times New Roman"/>
        <family val="1"/>
        <charset val="204"/>
      </rPr>
      <t xml:space="preserve"> допустимая масса ТС</t>
    </r>
  </si>
  <si>
    <t>характеристики ТС</t>
  </si>
  <si>
    <r>
      <t xml:space="preserve">Камаз                        </t>
    </r>
    <r>
      <rPr>
        <b/>
        <i/>
        <sz val="12"/>
        <color theme="1"/>
        <rFont val="Times New Roman"/>
        <family val="1"/>
        <charset val="204"/>
      </rPr>
      <t>К 877 ТУ 799</t>
    </r>
  </si>
  <si>
    <r>
      <t xml:space="preserve">FOTON                 </t>
    </r>
    <r>
      <rPr>
        <b/>
        <i/>
        <sz val="12"/>
        <color theme="1"/>
        <rFont val="Times New Roman"/>
        <family val="1"/>
        <charset val="204"/>
      </rPr>
      <t xml:space="preserve"> Н 152 ЕТ 977</t>
    </r>
  </si>
  <si>
    <r>
      <t xml:space="preserve">Газель                           </t>
    </r>
    <r>
      <rPr>
        <b/>
        <i/>
        <sz val="12"/>
        <color theme="1"/>
        <rFont val="Times New Roman"/>
        <family val="1"/>
        <charset val="204"/>
      </rPr>
      <t>Е 789 ТУ 799</t>
    </r>
  </si>
  <si>
    <r>
      <t xml:space="preserve"> Газель              </t>
    </r>
    <r>
      <rPr>
        <b/>
        <i/>
        <sz val="12"/>
        <color theme="1"/>
        <rFont val="Times New Roman"/>
        <family val="1"/>
        <charset val="204"/>
      </rPr>
      <t>Т 171 СС 750</t>
    </r>
  </si>
  <si>
    <r>
      <t xml:space="preserve"> Газель              </t>
    </r>
    <r>
      <rPr>
        <b/>
        <i/>
        <sz val="12"/>
        <color theme="1"/>
        <rFont val="Times New Roman"/>
        <family val="1"/>
        <charset val="204"/>
      </rPr>
      <t>В 456 АО 797</t>
    </r>
  </si>
  <si>
    <r>
      <t xml:space="preserve"> Газель              </t>
    </r>
    <r>
      <rPr>
        <b/>
        <i/>
        <sz val="12"/>
        <color theme="1"/>
        <rFont val="Times New Roman"/>
        <family val="1"/>
        <charset val="204"/>
      </rPr>
      <t>Н 900 В0 977</t>
    </r>
  </si>
  <si>
    <r>
      <t xml:space="preserve"> Газель              </t>
    </r>
    <r>
      <rPr>
        <b/>
        <i/>
        <sz val="12"/>
        <color theme="1"/>
        <rFont val="Times New Roman"/>
        <family val="1"/>
        <charset val="204"/>
      </rPr>
      <t>Т 189 УВ 777</t>
    </r>
  </si>
  <si>
    <r>
      <t xml:space="preserve"> Газель              </t>
    </r>
    <r>
      <rPr>
        <b/>
        <i/>
        <sz val="12"/>
        <color theme="1"/>
        <rFont val="Times New Roman"/>
        <family val="1"/>
        <charset val="204"/>
      </rPr>
      <t>С 982 ОА 797</t>
    </r>
  </si>
  <si>
    <r>
      <t xml:space="preserve">Газель                  </t>
    </r>
    <r>
      <rPr>
        <b/>
        <i/>
        <sz val="12"/>
        <color theme="1"/>
        <rFont val="Times New Roman"/>
        <family val="1"/>
        <charset val="204"/>
      </rPr>
      <t xml:space="preserve"> O 503 PT 777</t>
    </r>
  </si>
  <si>
    <r>
      <t xml:space="preserve">Газель               </t>
    </r>
    <r>
      <rPr>
        <b/>
        <i/>
        <sz val="12"/>
        <color theme="1"/>
        <rFont val="Times New Roman"/>
        <family val="1"/>
        <charset val="204"/>
      </rPr>
      <t xml:space="preserve"> О 035 КН 799</t>
    </r>
  </si>
  <si>
    <r>
      <t xml:space="preserve">Ford Transit               </t>
    </r>
    <r>
      <rPr>
        <b/>
        <i/>
        <sz val="12"/>
        <color theme="1"/>
        <rFont val="Times New Roman"/>
        <family val="1"/>
        <charset val="204"/>
      </rPr>
      <t xml:space="preserve"> У 479 MC 797</t>
    </r>
  </si>
  <si>
    <r>
      <t xml:space="preserve">Ford Transit               </t>
    </r>
    <r>
      <rPr>
        <b/>
        <i/>
        <sz val="12"/>
        <color theme="1"/>
        <rFont val="Times New Roman"/>
        <family val="1"/>
        <charset val="204"/>
      </rPr>
      <t xml:space="preserve"> У 978 ММ 797</t>
    </r>
    <r>
      <rPr>
        <b/>
        <sz val="12"/>
        <color theme="1"/>
        <rFont val="Times New Roman"/>
        <family val="1"/>
        <charset val="204"/>
      </rPr>
      <t xml:space="preserve"> </t>
    </r>
  </si>
  <si>
    <r>
      <t xml:space="preserve">Ford Transit                </t>
    </r>
    <r>
      <rPr>
        <b/>
        <i/>
        <sz val="12"/>
        <color theme="1"/>
        <rFont val="Times New Roman"/>
        <family val="1"/>
        <charset val="204"/>
      </rPr>
      <t xml:space="preserve">Е 335 ВК 977 </t>
    </r>
  </si>
  <si>
    <r>
      <t xml:space="preserve">Ford Transit               </t>
    </r>
    <r>
      <rPr>
        <b/>
        <i/>
        <sz val="12"/>
        <color theme="1"/>
        <rFont val="Times New Roman"/>
        <family val="1"/>
        <charset val="204"/>
      </rPr>
      <t>Е 344 ВК 977</t>
    </r>
  </si>
  <si>
    <r>
      <t xml:space="preserve"> Газель              </t>
    </r>
    <r>
      <rPr>
        <b/>
        <i/>
        <sz val="12"/>
        <color theme="1"/>
        <rFont val="Times New Roman"/>
        <family val="1"/>
        <charset val="204"/>
      </rPr>
      <t>Х 908 УК 799</t>
    </r>
  </si>
  <si>
    <r>
      <t xml:space="preserve">Ford Transit               </t>
    </r>
    <r>
      <rPr>
        <b/>
        <i/>
        <sz val="12"/>
        <color theme="1"/>
        <rFont val="Times New Roman"/>
        <family val="1"/>
        <charset val="204"/>
      </rPr>
      <t>Н 680 В0 977</t>
    </r>
  </si>
  <si>
    <r>
      <t xml:space="preserve">Ford Transit              </t>
    </r>
    <r>
      <rPr>
        <b/>
        <i/>
        <sz val="12"/>
        <color theme="1"/>
        <rFont val="Times New Roman"/>
        <family val="1"/>
        <charset val="204"/>
      </rPr>
      <t xml:space="preserve"> E 390 HP 797 </t>
    </r>
  </si>
  <si>
    <r>
      <t xml:space="preserve">КО                        </t>
    </r>
    <r>
      <rPr>
        <b/>
        <i/>
        <sz val="12"/>
        <color theme="1"/>
        <rFont val="Times New Roman"/>
        <family val="1"/>
        <charset val="204"/>
      </rPr>
      <t>М 711 ХУ 799</t>
    </r>
  </si>
  <si>
    <r>
      <t xml:space="preserve">Газон NEXT            </t>
    </r>
    <r>
      <rPr>
        <b/>
        <i/>
        <sz val="12"/>
        <color theme="1"/>
        <rFont val="Times New Roman"/>
        <family val="1"/>
        <charset val="204"/>
      </rPr>
      <t>Н 421 УА 799</t>
    </r>
    <r>
      <rPr>
        <b/>
        <sz val="12"/>
        <color theme="1"/>
        <rFont val="Times New Roman"/>
        <family val="1"/>
        <charset val="204"/>
      </rPr>
      <t xml:space="preserve"> </t>
    </r>
  </si>
  <si>
    <r>
      <t xml:space="preserve">Камаз                      </t>
    </r>
    <r>
      <rPr>
        <b/>
        <i/>
        <sz val="12"/>
        <color theme="1"/>
        <rFont val="Times New Roman"/>
        <family val="1"/>
        <charset val="204"/>
      </rPr>
      <t xml:space="preserve"> К 927 ТУ 799</t>
    </r>
  </si>
  <si>
    <r>
      <t xml:space="preserve">Камаз                       </t>
    </r>
    <r>
      <rPr>
        <b/>
        <i/>
        <sz val="12"/>
        <color theme="1"/>
        <rFont val="Times New Roman"/>
        <family val="1"/>
        <charset val="204"/>
      </rPr>
      <t>К 983 ТУ 799</t>
    </r>
  </si>
  <si>
    <r>
      <t xml:space="preserve">Камаз                    </t>
    </r>
    <r>
      <rPr>
        <b/>
        <i/>
        <sz val="12"/>
        <color theme="1"/>
        <rFont val="Times New Roman"/>
        <family val="1"/>
        <charset val="204"/>
      </rPr>
      <t xml:space="preserve"> К 994 ТУ 799</t>
    </r>
  </si>
  <si>
    <r>
      <t xml:space="preserve">Камаз                        </t>
    </r>
    <r>
      <rPr>
        <b/>
        <i/>
        <sz val="12"/>
        <color theme="1"/>
        <rFont val="Times New Roman"/>
        <family val="1"/>
        <charset val="204"/>
      </rPr>
      <t xml:space="preserve"> Н 487 АА 977</t>
    </r>
  </si>
  <si>
    <r>
      <t xml:space="preserve">SHACMAN                       </t>
    </r>
    <r>
      <rPr>
        <b/>
        <i/>
        <sz val="12"/>
        <color theme="1"/>
        <rFont val="Times New Roman"/>
        <family val="1"/>
        <charset val="204"/>
      </rPr>
      <t>Х 152 НО 799</t>
    </r>
  </si>
  <si>
    <r>
      <t xml:space="preserve">SHACMAN                 </t>
    </r>
    <r>
      <rPr>
        <b/>
        <i/>
        <sz val="12"/>
        <color theme="1"/>
        <rFont val="Times New Roman"/>
        <family val="1"/>
        <charset val="204"/>
      </rPr>
      <t>О 728 СР 799</t>
    </r>
  </si>
  <si>
    <r>
      <t xml:space="preserve">SHACMAN                             </t>
    </r>
    <r>
      <rPr>
        <b/>
        <i/>
        <sz val="12"/>
        <color theme="1"/>
        <rFont val="Times New Roman"/>
        <family val="1"/>
        <charset val="204"/>
      </rPr>
      <t xml:space="preserve"> Х 287 НО 799</t>
    </r>
  </si>
  <si>
    <r>
      <t xml:space="preserve">SHACMAN                             </t>
    </r>
    <r>
      <rPr>
        <b/>
        <i/>
        <sz val="12"/>
        <color theme="1"/>
        <rFont val="Times New Roman"/>
        <family val="1"/>
        <charset val="204"/>
      </rPr>
      <t xml:space="preserve"> Х 265 НО 799</t>
    </r>
  </si>
  <si>
    <r>
      <t xml:space="preserve">SITRAK                      </t>
    </r>
    <r>
      <rPr>
        <b/>
        <i/>
        <sz val="12"/>
        <color theme="1"/>
        <rFont val="Times New Roman"/>
        <family val="1"/>
        <charset val="204"/>
      </rPr>
      <t xml:space="preserve"> H 478 BO 977 </t>
    </r>
  </si>
  <si>
    <r>
      <t xml:space="preserve">SCANIA                          </t>
    </r>
    <r>
      <rPr>
        <b/>
        <i/>
        <sz val="12"/>
        <color theme="1"/>
        <rFont val="Times New Roman"/>
        <family val="1"/>
        <charset val="204"/>
      </rPr>
      <t xml:space="preserve"> М 949 ХУ 799</t>
    </r>
  </si>
  <si>
    <r>
      <t xml:space="preserve"> </t>
    </r>
    <r>
      <rPr>
        <b/>
        <sz val="11"/>
        <color theme="1"/>
        <rFont val="Times New Roman"/>
        <family val="1"/>
        <charset val="204"/>
      </rPr>
      <t xml:space="preserve"> ENSIGN  YX635</t>
    </r>
    <r>
      <rPr>
        <b/>
        <sz val="12"/>
        <color theme="1"/>
        <rFont val="Times New Roman"/>
        <family val="1"/>
        <charset val="204"/>
      </rPr>
      <t xml:space="preserve">                  </t>
    </r>
    <r>
      <rPr>
        <b/>
        <i/>
        <sz val="12"/>
        <color theme="1"/>
        <rFont val="Times New Roman"/>
        <family val="1"/>
        <charset val="204"/>
      </rPr>
      <t>77 МН 8102</t>
    </r>
  </si>
  <si>
    <r>
      <t xml:space="preserve">  </t>
    </r>
    <r>
      <rPr>
        <b/>
        <sz val="11"/>
        <color theme="1"/>
        <rFont val="Times New Roman"/>
        <family val="1"/>
        <charset val="204"/>
      </rPr>
      <t>ENSIGN YX635</t>
    </r>
    <r>
      <rPr>
        <b/>
        <sz val="12"/>
        <color theme="1"/>
        <rFont val="Times New Roman"/>
        <family val="1"/>
        <charset val="204"/>
      </rPr>
      <t xml:space="preserve">   </t>
    </r>
    <r>
      <rPr>
        <b/>
        <i/>
        <sz val="12"/>
        <color theme="1"/>
        <rFont val="Times New Roman"/>
        <family val="1"/>
        <charset val="204"/>
      </rPr>
      <t>77 МН 8101</t>
    </r>
  </si>
  <si>
    <r>
      <rPr>
        <b/>
        <sz val="11"/>
        <color theme="1"/>
        <rFont val="Times New Roman"/>
        <family val="1"/>
        <charset val="204"/>
      </rPr>
      <t>XCMG ZL3OGV</t>
    </r>
    <r>
      <rPr>
        <b/>
        <sz val="12"/>
        <color theme="1"/>
        <rFont val="Times New Roman"/>
        <family val="1"/>
        <charset val="204"/>
      </rPr>
      <t xml:space="preserve">               </t>
    </r>
    <r>
      <rPr>
        <b/>
        <i/>
        <sz val="12"/>
        <color theme="1"/>
        <rFont val="Times New Roman"/>
        <family val="1"/>
        <charset val="204"/>
      </rPr>
      <t xml:space="preserve"> 77 MM 7009</t>
    </r>
  </si>
  <si>
    <r>
      <t xml:space="preserve">CASE SR220   </t>
    </r>
    <r>
      <rPr>
        <b/>
        <i/>
        <sz val="12"/>
        <color theme="1"/>
        <rFont val="Times New Roman"/>
        <family val="1"/>
        <charset val="204"/>
      </rPr>
      <t>77 РЕ 4294</t>
    </r>
    <r>
      <rPr>
        <b/>
        <sz val="12"/>
        <color theme="1"/>
        <rFont val="Times New Roman"/>
        <family val="1"/>
        <charset val="204"/>
      </rPr>
      <t xml:space="preserve"> </t>
    </r>
  </si>
  <si>
    <r>
      <t xml:space="preserve">CASE SR200B      </t>
    </r>
    <r>
      <rPr>
        <b/>
        <i/>
        <sz val="12"/>
        <color theme="1"/>
        <rFont val="Times New Roman"/>
        <family val="1"/>
        <charset val="204"/>
      </rPr>
      <t xml:space="preserve">77 ММ 7010 </t>
    </r>
  </si>
  <si>
    <r>
      <t xml:space="preserve">Case 580Т            </t>
    </r>
    <r>
      <rPr>
        <b/>
        <i/>
        <sz val="12"/>
        <color theme="1"/>
        <rFont val="Times New Roman"/>
        <family val="1"/>
        <charset val="204"/>
      </rPr>
      <t>77 РЕ 4293</t>
    </r>
  </si>
  <si>
    <r>
      <t xml:space="preserve">Caterpillar 428                      </t>
    </r>
    <r>
      <rPr>
        <b/>
        <i/>
        <sz val="12"/>
        <color theme="1"/>
        <rFont val="Times New Roman"/>
        <family val="1"/>
        <charset val="204"/>
      </rPr>
      <t xml:space="preserve"> 77 ММ 7056</t>
    </r>
  </si>
  <si>
    <r>
      <rPr>
        <b/>
        <sz val="10"/>
        <color theme="1"/>
        <rFont val="Times New Roman"/>
        <family val="1"/>
        <charset val="204"/>
      </rPr>
      <t>Caterpillar 432F2</t>
    </r>
    <r>
      <rPr>
        <b/>
        <sz val="12"/>
        <color theme="1"/>
        <rFont val="Times New Roman"/>
        <family val="1"/>
        <charset val="204"/>
      </rPr>
      <t xml:space="preserve">             </t>
    </r>
    <r>
      <rPr>
        <b/>
        <i/>
        <sz val="12"/>
        <color theme="1"/>
        <rFont val="Times New Roman"/>
        <family val="1"/>
        <charset val="204"/>
      </rPr>
      <t>77 РВ 6800</t>
    </r>
  </si>
  <si>
    <r>
      <t xml:space="preserve">МУП-351.ТСТ               </t>
    </r>
    <r>
      <rPr>
        <b/>
        <i/>
        <sz val="12"/>
        <color theme="1"/>
        <rFont val="Times New Roman"/>
        <family val="1"/>
        <charset val="204"/>
      </rPr>
      <t xml:space="preserve">  77 РМ 6819</t>
    </r>
  </si>
  <si>
    <r>
      <t xml:space="preserve">SANY SY55C             </t>
    </r>
    <r>
      <rPr>
        <b/>
        <i/>
        <sz val="12"/>
        <color theme="1"/>
        <rFont val="Times New Roman"/>
        <family val="1"/>
        <charset val="204"/>
      </rPr>
      <t>77 РМ 6996</t>
    </r>
  </si>
  <si>
    <r>
      <t xml:space="preserve"> SANY SY75C                  </t>
    </r>
    <r>
      <rPr>
        <b/>
        <i/>
        <sz val="12"/>
        <color theme="1"/>
        <rFont val="Times New Roman"/>
        <family val="1"/>
        <charset val="204"/>
      </rPr>
      <t>77 МН 8147</t>
    </r>
  </si>
  <si>
    <r>
      <t xml:space="preserve">SANY SY155W                        </t>
    </r>
    <r>
      <rPr>
        <b/>
        <i/>
        <sz val="12"/>
        <color theme="1"/>
        <rFont val="Times New Roman"/>
        <family val="1"/>
        <charset val="204"/>
      </rPr>
      <t>77 МН 9524</t>
    </r>
  </si>
  <si>
    <r>
      <t xml:space="preserve">SANY SY155W                  </t>
    </r>
    <r>
      <rPr>
        <b/>
        <i/>
        <sz val="12"/>
        <color theme="1"/>
        <rFont val="Times New Roman"/>
        <family val="1"/>
        <charset val="204"/>
      </rPr>
      <t xml:space="preserve">77 МН 9525 </t>
    </r>
  </si>
  <si>
    <r>
      <t xml:space="preserve">SANY SY155W                          </t>
    </r>
    <r>
      <rPr>
        <b/>
        <i/>
        <sz val="12"/>
        <color theme="1"/>
        <rFont val="Times New Roman"/>
        <family val="1"/>
        <charset val="204"/>
      </rPr>
      <t xml:space="preserve"> 77 РМ 6820 </t>
    </r>
  </si>
  <si>
    <r>
      <t xml:space="preserve">SANY SY155W                      </t>
    </r>
    <r>
      <rPr>
        <b/>
        <i/>
        <sz val="12"/>
        <color theme="1"/>
        <rFont val="Times New Roman"/>
        <family val="1"/>
        <charset val="204"/>
      </rPr>
      <t>77 ММ 7013</t>
    </r>
  </si>
  <si>
    <r>
      <rPr>
        <b/>
        <sz val="10"/>
        <color theme="1"/>
        <rFont val="Times New Roman"/>
        <family val="1"/>
        <charset val="204"/>
      </rPr>
      <t>Caterpiliar 318CL</t>
    </r>
    <r>
      <rPr>
        <b/>
        <sz val="12"/>
        <color theme="1"/>
        <rFont val="Times New Roman"/>
        <family val="1"/>
        <charset val="204"/>
      </rPr>
      <t xml:space="preserve">               </t>
    </r>
    <r>
      <rPr>
        <b/>
        <i/>
        <sz val="12"/>
        <color theme="1"/>
        <rFont val="Times New Roman"/>
        <family val="1"/>
        <charset val="204"/>
      </rPr>
      <t xml:space="preserve"> 77 РК 7946</t>
    </r>
  </si>
  <si>
    <r>
      <rPr>
        <b/>
        <sz val="8"/>
        <color theme="1"/>
        <rFont val="Times New Roman"/>
        <family val="1"/>
        <charset val="204"/>
      </rPr>
      <t>AMMANN ARX45-2</t>
    </r>
    <r>
      <rPr>
        <b/>
        <i/>
        <sz val="8"/>
        <color theme="1"/>
        <rFont val="Times New Roman"/>
        <family val="1"/>
        <charset val="204"/>
      </rPr>
      <t xml:space="preserve">                       </t>
    </r>
    <r>
      <rPr>
        <b/>
        <i/>
        <sz val="12"/>
        <color theme="1"/>
        <rFont val="Times New Roman"/>
        <family val="1"/>
        <charset val="204"/>
      </rPr>
      <t xml:space="preserve"> 77 ММ 7057</t>
    </r>
  </si>
  <si>
    <r>
      <rPr>
        <b/>
        <sz val="8"/>
        <color theme="1"/>
        <rFont val="Times New Roman"/>
        <family val="1"/>
        <charset val="204"/>
      </rPr>
      <t>LIUGONG CLG6614E</t>
    </r>
    <r>
      <rPr>
        <b/>
        <i/>
        <sz val="12"/>
        <color theme="1"/>
        <rFont val="Times New Roman"/>
        <family val="1"/>
        <charset val="204"/>
      </rPr>
      <t xml:space="preserve">              77 ММ 7012</t>
    </r>
  </si>
  <si>
    <r>
      <rPr>
        <b/>
        <sz val="8"/>
        <color theme="1"/>
        <rFont val="Times New Roman"/>
        <family val="1"/>
        <charset val="204"/>
      </rPr>
      <t>AMMANN ARX45-2</t>
    </r>
    <r>
      <rPr>
        <b/>
        <i/>
        <sz val="12"/>
        <color theme="1"/>
        <rFont val="Times New Roman"/>
        <family val="1"/>
        <charset val="204"/>
      </rPr>
      <t xml:space="preserve">                   77 ММ 7011</t>
    </r>
  </si>
  <si>
    <r>
      <t xml:space="preserve"> </t>
    </r>
    <r>
      <rPr>
        <b/>
        <sz val="11"/>
        <color theme="1"/>
        <rFont val="Times New Roman"/>
        <family val="1"/>
        <charset val="204"/>
      </rPr>
      <t>ZDM DM-10-VD</t>
    </r>
    <r>
      <rPr>
        <b/>
        <i/>
        <sz val="12"/>
        <color theme="1"/>
        <rFont val="Times New Roman"/>
        <family val="1"/>
        <charset val="204"/>
      </rPr>
      <t xml:space="preserve">                        77 МН 9579</t>
    </r>
  </si>
  <si>
    <r>
      <rPr>
        <b/>
        <sz val="11"/>
        <color theme="1"/>
        <rFont val="Times New Roman"/>
        <family val="1"/>
        <charset val="204"/>
      </rPr>
      <t xml:space="preserve"> </t>
    </r>
    <r>
      <rPr>
        <b/>
        <sz val="10"/>
        <color theme="1"/>
        <rFont val="Times New Roman"/>
        <family val="1"/>
        <charset val="204"/>
      </rPr>
      <t>ZDM ZDM-10-VC</t>
    </r>
    <r>
      <rPr>
        <b/>
        <i/>
        <sz val="10"/>
        <color theme="1"/>
        <rFont val="Times New Roman"/>
        <family val="1"/>
        <charset val="204"/>
      </rPr>
      <t xml:space="preserve"> </t>
    </r>
    <r>
      <rPr>
        <b/>
        <i/>
        <sz val="12"/>
        <color theme="1"/>
        <rFont val="Times New Roman"/>
        <family val="1"/>
        <charset val="204"/>
      </rPr>
      <t xml:space="preserve">                      77 МН 9580</t>
    </r>
  </si>
  <si>
    <r>
      <rPr>
        <b/>
        <sz val="8"/>
        <color theme="1"/>
        <rFont val="Times New Roman"/>
        <family val="1"/>
        <charset val="204"/>
      </rPr>
      <t>AMMANN ARX 26К</t>
    </r>
    <r>
      <rPr>
        <b/>
        <i/>
        <sz val="12"/>
        <color theme="1"/>
        <rFont val="Times New Roman"/>
        <family val="1"/>
        <charset val="204"/>
      </rPr>
      <t xml:space="preserve">                 77 РА 4897 </t>
    </r>
  </si>
  <si>
    <r>
      <rPr>
        <b/>
        <sz val="10"/>
        <color theme="1"/>
        <rFont val="Times New Roman"/>
        <family val="1"/>
        <charset val="204"/>
      </rPr>
      <t>HAMM HD 090V</t>
    </r>
    <r>
      <rPr>
        <b/>
        <i/>
        <sz val="12"/>
        <color theme="1"/>
        <rFont val="Times New Roman"/>
        <family val="1"/>
        <charset val="204"/>
      </rPr>
      <t xml:space="preserve">                  77 МН 4897</t>
    </r>
  </si>
  <si>
    <r>
      <rPr>
        <b/>
        <sz val="12"/>
        <color theme="1"/>
        <rFont val="Times New Roman"/>
        <family val="1"/>
        <charset val="204"/>
      </rPr>
      <t xml:space="preserve"> BW 161 AD-4 </t>
    </r>
    <r>
      <rPr>
        <b/>
        <i/>
        <sz val="12"/>
        <color theme="1"/>
        <rFont val="Times New Roman"/>
        <family val="1"/>
        <charset val="204"/>
      </rPr>
      <t xml:space="preserve">              77 МН 4901</t>
    </r>
  </si>
  <si>
    <r>
      <rPr>
        <b/>
        <sz val="8"/>
        <color theme="1"/>
        <rFont val="Times New Roman"/>
        <family val="1"/>
        <charset val="204"/>
      </rPr>
      <t>VOGEL SUPER 1900-2</t>
    </r>
    <r>
      <rPr>
        <b/>
        <i/>
        <sz val="12"/>
        <color theme="1"/>
        <rFont val="Times New Roman"/>
        <family val="1"/>
        <charset val="204"/>
      </rPr>
      <t xml:space="preserve">            77 РВ 6821</t>
    </r>
  </si>
  <si>
    <r>
      <rPr>
        <b/>
        <sz val="8"/>
        <color theme="1"/>
        <rFont val="Times New Roman"/>
        <family val="1"/>
        <charset val="204"/>
      </rPr>
      <t xml:space="preserve">VOGEL SUPER 1900-2                           </t>
    </r>
    <r>
      <rPr>
        <b/>
        <i/>
        <sz val="12"/>
        <color theme="1"/>
        <rFont val="Times New Roman"/>
        <family val="1"/>
        <charset val="204"/>
      </rPr>
      <t>77 РЕ 5812</t>
    </r>
  </si>
  <si>
    <r>
      <rPr>
        <b/>
        <sz val="8"/>
        <color theme="1"/>
        <rFont val="Times New Roman"/>
        <family val="1"/>
        <charset val="204"/>
      </rPr>
      <t>VOGEL SUPER 1300-2</t>
    </r>
    <r>
      <rPr>
        <b/>
        <sz val="12"/>
        <color theme="1"/>
        <rFont val="Times New Roman"/>
        <family val="1"/>
        <charset val="204"/>
      </rPr>
      <t xml:space="preserve">                   </t>
    </r>
    <r>
      <rPr>
        <b/>
        <i/>
        <sz val="12"/>
        <color theme="1"/>
        <rFont val="Times New Roman"/>
        <family val="1"/>
        <charset val="204"/>
      </rPr>
      <t>77 МН 7351</t>
    </r>
  </si>
  <si>
    <r>
      <rPr>
        <b/>
        <sz val="11"/>
        <color theme="1"/>
        <rFont val="Times New Roman"/>
        <family val="1"/>
        <charset val="204"/>
      </rPr>
      <t xml:space="preserve">WIRTGEN W210  </t>
    </r>
    <r>
      <rPr>
        <b/>
        <i/>
        <sz val="12"/>
        <color theme="1"/>
        <rFont val="Times New Roman"/>
        <family val="1"/>
        <charset val="204"/>
      </rPr>
      <t xml:space="preserve">                     77 РЕ 4341</t>
    </r>
  </si>
  <si>
    <r>
      <rPr>
        <b/>
        <sz val="11"/>
        <color theme="1"/>
        <rFont val="Times New Roman"/>
        <family val="1"/>
        <charset val="204"/>
      </rPr>
      <t>WIRTGEN W200</t>
    </r>
    <r>
      <rPr>
        <b/>
        <i/>
        <sz val="12"/>
        <color theme="1"/>
        <rFont val="Times New Roman"/>
        <family val="1"/>
        <charset val="204"/>
      </rPr>
      <t xml:space="preserve">                      77 РВ 6822</t>
    </r>
  </si>
  <si>
    <r>
      <rPr>
        <b/>
        <sz val="9"/>
        <color theme="1"/>
        <rFont val="Times New Roman"/>
        <family val="1"/>
        <charset val="204"/>
      </rPr>
      <t xml:space="preserve">Caterpillar PM620 </t>
    </r>
    <r>
      <rPr>
        <b/>
        <i/>
        <sz val="12"/>
        <color theme="1"/>
        <rFont val="Times New Roman"/>
        <family val="1"/>
        <charset val="204"/>
      </rPr>
      <t xml:space="preserve">                       77 РВ 8497</t>
    </r>
  </si>
  <si>
    <r>
      <rPr>
        <b/>
        <sz val="9"/>
        <color theme="1"/>
        <rFont val="Times New Roman"/>
        <family val="1"/>
        <charset val="204"/>
      </rPr>
      <t>Caterpillar PM620</t>
    </r>
    <r>
      <rPr>
        <b/>
        <i/>
        <sz val="12"/>
        <color theme="1"/>
        <rFont val="Times New Roman"/>
        <family val="1"/>
        <charset val="204"/>
      </rPr>
      <t xml:space="preserve">                     77 РВ 6778</t>
    </r>
  </si>
  <si>
    <t>СН 084773 от 14.02.2024</t>
  </si>
  <si>
    <t>99 26 324008 от 03.02.2021</t>
  </si>
  <si>
    <t>77 МО 4698</t>
  </si>
  <si>
    <r>
      <rPr>
        <b/>
        <sz val="9"/>
        <color theme="1"/>
        <rFont val="Times New Roman"/>
        <family val="1"/>
        <charset val="204"/>
      </rPr>
      <t>HD110 HAMM AG</t>
    </r>
    <r>
      <rPr>
        <b/>
        <sz val="11"/>
        <color theme="1"/>
        <rFont val="Times New Roman"/>
        <family val="1"/>
        <charset val="204"/>
      </rPr>
      <t xml:space="preserve"> </t>
    </r>
    <r>
      <rPr>
        <b/>
        <i/>
        <sz val="12"/>
        <color theme="1"/>
        <rFont val="Times New Roman"/>
        <family val="1"/>
        <charset val="204"/>
      </rPr>
      <t xml:space="preserve">                      77 МО 4698</t>
    </r>
  </si>
  <si>
    <t>О 989 РЕ 799</t>
  </si>
  <si>
    <t>Плановое ТО</t>
  </si>
  <si>
    <t>Замена Капота(сгнил)</t>
  </si>
  <si>
    <t>ТО пройден</t>
  </si>
  <si>
    <t>Ремонт электрики (ошибки) АБС, чек и тд</t>
  </si>
  <si>
    <t>Плановое ТО (дооборудовать кузовной отдел)</t>
  </si>
  <si>
    <t>Плановое ТО (бампер и крыло  покрасить и собрать)</t>
  </si>
  <si>
    <t>Плановое ТО (не заводится)</t>
  </si>
  <si>
    <t>Плановое ТО (нужен водитель) дооборудовать чалками стяжками, установить инструментальный ящик, купить чехлы в салон</t>
  </si>
  <si>
    <t>Плановое ТО, текущий ремонт</t>
  </si>
  <si>
    <t>Плановое ТО, не запускается, текущий ремонт</t>
  </si>
  <si>
    <t>Плановое ТО (проблема с прокладками под головками)</t>
  </si>
  <si>
    <t>Плановое ТО (диагностика торм.системы)</t>
  </si>
  <si>
    <t>Плановое ТО, диагностика тормозной и топливной систем</t>
  </si>
  <si>
    <t>Плановое ТО, диагностика тормозной и топливной систем, диагностика ошибки</t>
  </si>
  <si>
    <t>Плановое ТО, тормоза и электрика диагностика</t>
  </si>
  <si>
    <t>Плановое ТО большое, косметический ремонт кабины</t>
  </si>
  <si>
    <t>Плановое ТО, регулировка тормозов, проверка эл.и пневмосистем</t>
  </si>
  <si>
    <t>Двигатель в ремонте, поменять гидравлику</t>
  </si>
  <si>
    <t>отремонтировать двигатель на продажу, ремонт барабана (буксы и резцодержатели), ремонт второго двигателя</t>
  </si>
  <si>
    <t>Нужно Большое ТО</t>
  </si>
  <si>
    <t>Нужно Большое ТО(течь гидроматоров) замена приводной цепи и звездочек</t>
  </si>
  <si>
    <t>Плановое ТО, валы и крепление валов, башмаки поменять, скребок передний левый замена, механизм подьема боковых считов замена, лопнут центральный короб бункера, проверить разьем Руля, замена цилиндра подьема капота, замена тефлонов выдвижных щек</t>
  </si>
  <si>
    <t>Плановое ТО,</t>
  </si>
  <si>
    <t>Плановое ТО,замена тефлонов выдвижных щек, замена среднего пальца плиты, проблема с электрикой освещение, ремонт передних роликов и их креплений, замена ходовых цепей есть трещины, замена цилиндра капота</t>
  </si>
  <si>
    <t>ремонт в сервисе</t>
  </si>
  <si>
    <t>Плановое ТО (ремонт двигателя)</t>
  </si>
  <si>
    <t>Плановое ТО (ревизия гидравлики задней стрелы, шпильки колес, моторчик печки, ремень и натяжитель привода ремня навесного оборудования, замена лобового стекла и форточки)</t>
  </si>
  <si>
    <t>Плановое ТО (ремонт цилиндров челюсти, перевернуть нож, ремонт ручника, колодки, натяжитель ремня и ремень поменять) замена задних колес</t>
  </si>
  <si>
    <t>Плановое ТО,ремонт метлы либо замена, разобраться с Куном</t>
  </si>
  <si>
    <t>Плановое ТО, рзамена пальцев и втулок соединения ковша и рукояти</t>
  </si>
  <si>
    <t>Двигатель в ремонте, ремонт ходовой нижние катки, проверка гидромоторов</t>
  </si>
  <si>
    <t>Плановое ТО, проверка насоса орошения, и скребки</t>
  </si>
  <si>
    <t>Плановое ТО, проверка насоса орошения, и скребки, разбито боковое стекло замена</t>
  </si>
  <si>
    <t>Плановое ТО, проверка насоса орошения, и скребки, испытания ходовые провести</t>
  </si>
  <si>
    <t>СН 414785 от 15.05.2024</t>
  </si>
  <si>
    <t>ПСМ отсутствует</t>
  </si>
  <si>
    <t>не страхуется</t>
  </si>
  <si>
    <t>СН 416720 от 02.07.2024</t>
  </si>
  <si>
    <t>Плановое ТО, проверка насоса орошения, и скребки, ремонт козырька</t>
  </si>
  <si>
    <t>CATPM620PLH900176</t>
  </si>
  <si>
    <t xml:space="preserve">Колесный экскаватор SANY,SY155W(368) </t>
  </si>
  <si>
    <t>77 РК 7946</t>
  </si>
  <si>
    <t xml:space="preserve">Специальный, грузовой бортовой оснащенный краном-манипулятором TH-T13 FOTON 3006A7Н </t>
  </si>
  <si>
    <t>М 949 ХУ 799</t>
  </si>
  <si>
    <t>СК</t>
  </si>
  <si>
    <t>ТТК</t>
  </si>
  <si>
    <t>Разрешено въезжать</t>
  </si>
  <si>
    <t>Двигатель в нерабочем состоянии</t>
  </si>
  <si>
    <r>
      <rPr>
        <sz val="8"/>
        <color theme="1"/>
        <rFont val="Times New Roman"/>
        <family val="1"/>
        <charset val="204"/>
      </rPr>
      <t>SHACMAN</t>
    </r>
    <r>
      <rPr>
        <b/>
        <sz val="8"/>
        <color theme="1"/>
        <rFont val="Times New Roman"/>
        <family val="1"/>
        <charset val="204"/>
      </rPr>
      <t xml:space="preserve">  </t>
    </r>
    <r>
      <rPr>
        <b/>
        <i/>
        <sz val="8"/>
        <color theme="1"/>
        <rFont val="Times New Roman"/>
        <family val="1"/>
        <charset val="204"/>
      </rPr>
      <t>Х 152 НО 799</t>
    </r>
  </si>
  <si>
    <r>
      <rPr>
        <sz val="8"/>
        <color theme="1"/>
        <rFont val="Times New Roman"/>
        <family val="1"/>
        <charset val="204"/>
      </rPr>
      <t xml:space="preserve">Газель </t>
    </r>
    <r>
      <rPr>
        <b/>
        <sz val="8"/>
        <color theme="1"/>
        <rFont val="Times New Roman"/>
        <family val="1"/>
        <charset val="204"/>
      </rPr>
      <t xml:space="preserve">  </t>
    </r>
    <r>
      <rPr>
        <b/>
        <i/>
        <sz val="8"/>
        <color theme="1"/>
        <rFont val="Times New Roman"/>
        <family val="1"/>
        <charset val="204"/>
      </rPr>
      <t>Е 789 ТУ 799</t>
    </r>
  </si>
  <si>
    <r>
      <rPr>
        <sz val="8"/>
        <color theme="1"/>
        <rFont val="Times New Roman"/>
        <family val="1"/>
        <charset val="204"/>
      </rPr>
      <t>Ford Transit</t>
    </r>
    <r>
      <rPr>
        <b/>
        <sz val="8"/>
        <color theme="1"/>
        <rFont val="Times New Roman"/>
        <family val="1"/>
        <charset val="204"/>
      </rPr>
      <t xml:space="preserve"> </t>
    </r>
    <r>
      <rPr>
        <b/>
        <i/>
        <sz val="8"/>
        <color theme="1"/>
        <rFont val="Times New Roman"/>
        <family val="1"/>
        <charset val="204"/>
      </rPr>
      <t xml:space="preserve"> У 479 MC 797</t>
    </r>
  </si>
  <si>
    <r>
      <rPr>
        <sz val="8"/>
        <color theme="1"/>
        <rFont val="Times New Roman"/>
        <family val="1"/>
        <charset val="204"/>
      </rPr>
      <t>FOTON</t>
    </r>
    <r>
      <rPr>
        <b/>
        <sz val="8"/>
        <color theme="1"/>
        <rFont val="Times New Roman"/>
        <family val="1"/>
        <charset val="204"/>
      </rPr>
      <t xml:space="preserve">  </t>
    </r>
    <r>
      <rPr>
        <b/>
        <i/>
        <sz val="8"/>
        <color theme="1"/>
        <rFont val="Times New Roman"/>
        <family val="1"/>
        <charset val="204"/>
      </rPr>
      <t>Н 152 ЕТ 977</t>
    </r>
  </si>
  <si>
    <r>
      <t xml:space="preserve"> </t>
    </r>
    <r>
      <rPr>
        <sz val="8"/>
        <color theme="1"/>
        <rFont val="Times New Roman"/>
        <family val="1"/>
        <charset val="204"/>
      </rPr>
      <t xml:space="preserve"> ENSIGN  YX635</t>
    </r>
    <r>
      <rPr>
        <b/>
        <sz val="8"/>
        <color theme="1"/>
        <rFont val="Times New Roman"/>
        <family val="1"/>
        <charset val="204"/>
      </rPr>
      <t xml:space="preserve">  </t>
    </r>
    <r>
      <rPr>
        <b/>
        <i/>
        <sz val="8"/>
        <color theme="1"/>
        <rFont val="Times New Roman"/>
        <family val="1"/>
        <charset val="204"/>
      </rPr>
      <t>77 МН 8102</t>
    </r>
  </si>
  <si>
    <r>
      <rPr>
        <sz val="8"/>
        <color theme="1"/>
        <rFont val="Times New Roman"/>
        <family val="1"/>
        <charset val="204"/>
      </rPr>
      <t>МУП-351.ТСТ</t>
    </r>
    <r>
      <rPr>
        <b/>
        <i/>
        <sz val="8"/>
        <color theme="1"/>
        <rFont val="Times New Roman"/>
        <family val="1"/>
        <charset val="204"/>
      </rPr>
      <t xml:space="preserve">  77 РМ 6819</t>
    </r>
  </si>
  <si>
    <r>
      <rPr>
        <sz val="8"/>
        <color theme="1"/>
        <rFont val="Times New Roman"/>
        <family val="1"/>
        <charset val="204"/>
      </rPr>
      <t>LIUGONG CLG6614E</t>
    </r>
    <r>
      <rPr>
        <b/>
        <i/>
        <sz val="8"/>
        <color theme="1"/>
        <rFont val="Times New Roman"/>
        <family val="1"/>
        <charset val="204"/>
      </rPr>
      <t xml:space="preserve">  77 ММ 7012</t>
    </r>
  </si>
  <si>
    <r>
      <rPr>
        <b/>
        <sz val="8"/>
        <color theme="1"/>
        <rFont val="Times New Roman"/>
        <family val="1"/>
        <charset val="204"/>
      </rPr>
      <t xml:space="preserve"> </t>
    </r>
    <r>
      <rPr>
        <sz val="8"/>
        <color theme="1"/>
        <rFont val="Times New Roman"/>
        <family val="1"/>
        <charset val="204"/>
      </rPr>
      <t xml:space="preserve">BW 161 AD-4 </t>
    </r>
    <r>
      <rPr>
        <b/>
        <i/>
        <sz val="8"/>
        <color theme="1"/>
        <rFont val="Times New Roman"/>
        <family val="1"/>
        <charset val="204"/>
      </rPr>
      <t xml:space="preserve">  77 МН 4901</t>
    </r>
  </si>
  <si>
    <r>
      <t xml:space="preserve"> </t>
    </r>
    <r>
      <rPr>
        <sz val="8"/>
        <color theme="1"/>
        <rFont val="Times New Roman"/>
        <family val="1"/>
        <charset val="204"/>
      </rPr>
      <t>Газель</t>
    </r>
    <r>
      <rPr>
        <b/>
        <sz val="8"/>
        <color theme="1"/>
        <rFont val="Times New Roman"/>
        <family val="1"/>
        <charset val="204"/>
      </rPr>
      <t xml:space="preserve">  </t>
    </r>
    <r>
      <rPr>
        <b/>
        <i/>
        <sz val="8"/>
        <color theme="1"/>
        <rFont val="Times New Roman"/>
        <family val="1"/>
        <charset val="204"/>
      </rPr>
      <t>Т 171 СС 750</t>
    </r>
  </si>
  <si>
    <r>
      <rPr>
        <sz val="8"/>
        <color theme="1"/>
        <rFont val="Times New Roman"/>
        <family val="1"/>
        <charset val="204"/>
      </rPr>
      <t>Ford Transit</t>
    </r>
    <r>
      <rPr>
        <b/>
        <sz val="8"/>
        <color theme="1"/>
        <rFont val="Times New Roman"/>
        <family val="1"/>
        <charset val="204"/>
      </rPr>
      <t xml:space="preserve">     </t>
    </r>
    <r>
      <rPr>
        <b/>
        <i/>
        <sz val="8"/>
        <color theme="1"/>
        <rFont val="Times New Roman"/>
        <family val="1"/>
        <charset val="204"/>
      </rPr>
      <t xml:space="preserve"> У 978 ММ 797</t>
    </r>
    <r>
      <rPr>
        <b/>
        <sz val="8"/>
        <color theme="1"/>
        <rFont val="Times New Roman"/>
        <family val="1"/>
        <charset val="204"/>
      </rPr>
      <t xml:space="preserve"> </t>
    </r>
  </si>
  <si>
    <r>
      <rPr>
        <sz val="8"/>
        <color theme="1"/>
        <rFont val="Times New Roman"/>
        <family val="1"/>
        <charset val="204"/>
      </rPr>
      <t>SHACMAN</t>
    </r>
    <r>
      <rPr>
        <b/>
        <sz val="8"/>
        <color theme="1"/>
        <rFont val="Times New Roman"/>
        <family val="1"/>
        <charset val="204"/>
      </rPr>
      <t xml:space="preserve">    </t>
    </r>
    <r>
      <rPr>
        <b/>
        <i/>
        <sz val="8"/>
        <color theme="1"/>
        <rFont val="Times New Roman"/>
        <family val="1"/>
        <charset val="204"/>
      </rPr>
      <t>О 728 СР 799</t>
    </r>
  </si>
  <si>
    <r>
      <rPr>
        <sz val="8"/>
        <color theme="1"/>
        <rFont val="Times New Roman"/>
        <family val="1"/>
        <charset val="204"/>
      </rPr>
      <t>КО</t>
    </r>
    <r>
      <rPr>
        <b/>
        <sz val="8"/>
        <color theme="1"/>
        <rFont val="Times New Roman"/>
        <family val="1"/>
        <charset val="204"/>
      </rPr>
      <t xml:space="preserve">    </t>
    </r>
    <r>
      <rPr>
        <b/>
        <i/>
        <sz val="8"/>
        <color theme="1"/>
        <rFont val="Times New Roman"/>
        <family val="1"/>
        <charset val="204"/>
      </rPr>
      <t>М 711 ХУ 799</t>
    </r>
  </si>
  <si>
    <r>
      <t xml:space="preserve">  </t>
    </r>
    <r>
      <rPr>
        <sz val="8"/>
        <color theme="1"/>
        <rFont val="Times New Roman"/>
        <family val="1"/>
        <charset val="204"/>
      </rPr>
      <t>ENSIGN YX635</t>
    </r>
    <r>
      <rPr>
        <b/>
        <sz val="8"/>
        <color theme="1"/>
        <rFont val="Times New Roman"/>
        <family val="1"/>
        <charset val="204"/>
      </rPr>
      <t xml:space="preserve">   </t>
    </r>
    <r>
      <rPr>
        <b/>
        <i/>
        <sz val="8"/>
        <color theme="1"/>
        <rFont val="Times New Roman"/>
        <family val="1"/>
        <charset val="204"/>
      </rPr>
      <t>77 МН 8101</t>
    </r>
  </si>
  <si>
    <r>
      <rPr>
        <sz val="8"/>
        <color theme="1"/>
        <rFont val="Times New Roman"/>
        <family val="1"/>
        <charset val="204"/>
      </rPr>
      <t>SANY SY55C</t>
    </r>
    <r>
      <rPr>
        <b/>
        <sz val="8"/>
        <color theme="1"/>
        <rFont val="Times New Roman"/>
        <family val="1"/>
        <charset val="204"/>
      </rPr>
      <t xml:space="preserve">      </t>
    </r>
    <r>
      <rPr>
        <b/>
        <i/>
        <sz val="8"/>
        <color theme="1"/>
        <rFont val="Times New Roman"/>
        <family val="1"/>
        <charset val="204"/>
      </rPr>
      <t>77 РМ 6996</t>
    </r>
  </si>
  <si>
    <r>
      <rPr>
        <sz val="8"/>
        <color theme="1"/>
        <rFont val="Times New Roman"/>
        <family val="1"/>
        <charset val="204"/>
      </rPr>
      <t>AMMANN ARX45-2</t>
    </r>
    <r>
      <rPr>
        <b/>
        <i/>
        <sz val="8"/>
        <color theme="1"/>
        <rFont val="Times New Roman"/>
        <family val="1"/>
        <charset val="204"/>
      </rPr>
      <t xml:space="preserve"> 77 ММ 7057</t>
    </r>
  </si>
  <si>
    <r>
      <rPr>
        <sz val="8"/>
        <color theme="1"/>
        <rFont val="Times New Roman"/>
        <family val="1"/>
        <charset val="204"/>
      </rPr>
      <t>VOGEL SUPER 1900-2</t>
    </r>
    <r>
      <rPr>
        <b/>
        <i/>
        <sz val="8"/>
        <color theme="1"/>
        <rFont val="Times New Roman"/>
        <family val="1"/>
        <charset val="204"/>
      </rPr>
      <t xml:space="preserve">  77 РВ 6821</t>
    </r>
  </si>
  <si>
    <r>
      <t xml:space="preserve"> </t>
    </r>
    <r>
      <rPr>
        <sz val="8"/>
        <color theme="1"/>
        <rFont val="Times New Roman"/>
        <family val="1"/>
        <charset val="204"/>
      </rPr>
      <t>Газель</t>
    </r>
    <r>
      <rPr>
        <b/>
        <sz val="8"/>
        <color theme="1"/>
        <rFont val="Times New Roman"/>
        <family val="1"/>
        <charset val="204"/>
      </rPr>
      <t xml:space="preserve">    </t>
    </r>
    <r>
      <rPr>
        <b/>
        <i/>
        <sz val="8"/>
        <color theme="1"/>
        <rFont val="Times New Roman"/>
        <family val="1"/>
        <charset val="204"/>
      </rPr>
      <t>В 456 АО 797</t>
    </r>
  </si>
  <si>
    <r>
      <rPr>
        <sz val="8"/>
        <color theme="1"/>
        <rFont val="Times New Roman"/>
        <family val="1"/>
        <charset val="204"/>
      </rPr>
      <t xml:space="preserve">Ford Transit </t>
    </r>
    <r>
      <rPr>
        <b/>
        <sz val="8"/>
        <color theme="1"/>
        <rFont val="Times New Roman"/>
        <family val="1"/>
        <charset val="204"/>
      </rPr>
      <t xml:space="preserve">   </t>
    </r>
    <r>
      <rPr>
        <b/>
        <i/>
        <sz val="8"/>
        <color theme="1"/>
        <rFont val="Times New Roman"/>
        <family val="1"/>
        <charset val="204"/>
      </rPr>
      <t xml:space="preserve">Е 335 ВК 977 </t>
    </r>
  </si>
  <si>
    <r>
      <rPr>
        <sz val="8"/>
        <color theme="1"/>
        <rFont val="Times New Roman"/>
        <family val="1"/>
        <charset val="204"/>
      </rPr>
      <t>Газон NEXT</t>
    </r>
    <r>
      <rPr>
        <b/>
        <sz val="8"/>
        <color theme="1"/>
        <rFont val="Times New Roman"/>
        <family val="1"/>
        <charset val="204"/>
      </rPr>
      <t xml:space="preserve">   </t>
    </r>
    <r>
      <rPr>
        <b/>
        <i/>
        <sz val="8"/>
        <color theme="1"/>
        <rFont val="Times New Roman"/>
        <family val="1"/>
        <charset val="204"/>
      </rPr>
      <t>Н 421 УА 799</t>
    </r>
    <r>
      <rPr>
        <b/>
        <sz val="8"/>
        <color theme="1"/>
        <rFont val="Times New Roman"/>
        <family val="1"/>
        <charset val="204"/>
      </rPr>
      <t xml:space="preserve"> </t>
    </r>
  </si>
  <si>
    <r>
      <rPr>
        <sz val="8"/>
        <color theme="1"/>
        <rFont val="Times New Roman"/>
        <family val="1"/>
        <charset val="204"/>
      </rPr>
      <t>SHACMAN</t>
    </r>
    <r>
      <rPr>
        <b/>
        <sz val="8"/>
        <color theme="1"/>
        <rFont val="Times New Roman"/>
        <family val="1"/>
        <charset val="204"/>
      </rPr>
      <t xml:space="preserve">     </t>
    </r>
    <r>
      <rPr>
        <b/>
        <i/>
        <sz val="8"/>
        <color theme="1"/>
        <rFont val="Times New Roman"/>
        <family val="1"/>
        <charset val="204"/>
      </rPr>
      <t xml:space="preserve"> Х 287 НО 799</t>
    </r>
  </si>
  <si>
    <r>
      <rPr>
        <sz val="8"/>
        <color theme="1"/>
        <rFont val="Times New Roman"/>
        <family val="1"/>
        <charset val="204"/>
      </rPr>
      <t>XCMG ZL3OGV</t>
    </r>
    <r>
      <rPr>
        <b/>
        <sz val="8"/>
        <color theme="1"/>
        <rFont val="Times New Roman"/>
        <family val="1"/>
        <charset val="204"/>
      </rPr>
      <t xml:space="preserve">    </t>
    </r>
    <r>
      <rPr>
        <b/>
        <i/>
        <sz val="8"/>
        <color theme="1"/>
        <rFont val="Times New Roman"/>
        <family val="1"/>
        <charset val="204"/>
      </rPr>
      <t xml:space="preserve"> 77 MM 7009</t>
    </r>
  </si>
  <si>
    <r>
      <t xml:space="preserve"> </t>
    </r>
    <r>
      <rPr>
        <sz val="8"/>
        <color theme="1"/>
        <rFont val="Times New Roman"/>
        <family val="1"/>
        <charset val="204"/>
      </rPr>
      <t>SANY SY75C</t>
    </r>
    <r>
      <rPr>
        <b/>
        <sz val="8"/>
        <color theme="1"/>
        <rFont val="Times New Roman"/>
        <family val="1"/>
        <charset val="204"/>
      </rPr>
      <t xml:space="preserve">     </t>
    </r>
    <r>
      <rPr>
        <b/>
        <i/>
        <sz val="8"/>
        <color theme="1"/>
        <rFont val="Times New Roman"/>
        <family val="1"/>
        <charset val="204"/>
      </rPr>
      <t>77 МН 8147</t>
    </r>
  </si>
  <si>
    <r>
      <rPr>
        <sz val="8"/>
        <color theme="1"/>
        <rFont val="Times New Roman"/>
        <family val="1"/>
        <charset val="204"/>
      </rPr>
      <t xml:space="preserve"> Газель</t>
    </r>
    <r>
      <rPr>
        <b/>
        <sz val="8"/>
        <color theme="1"/>
        <rFont val="Times New Roman"/>
        <family val="1"/>
        <charset val="204"/>
      </rPr>
      <t xml:space="preserve">   </t>
    </r>
    <r>
      <rPr>
        <b/>
        <i/>
        <sz val="8"/>
        <color theme="1"/>
        <rFont val="Times New Roman"/>
        <family val="1"/>
        <charset val="204"/>
      </rPr>
      <t>Н 900 В0 977</t>
    </r>
  </si>
  <si>
    <r>
      <rPr>
        <sz val="8"/>
        <color theme="1"/>
        <rFont val="Times New Roman"/>
        <family val="1"/>
        <charset val="204"/>
      </rPr>
      <t>Ford Transit</t>
    </r>
    <r>
      <rPr>
        <b/>
        <sz val="8"/>
        <color theme="1"/>
        <rFont val="Times New Roman"/>
        <family val="1"/>
        <charset val="204"/>
      </rPr>
      <t xml:space="preserve">    </t>
    </r>
    <r>
      <rPr>
        <b/>
        <i/>
        <sz val="8"/>
        <color theme="1"/>
        <rFont val="Times New Roman"/>
        <family val="1"/>
        <charset val="204"/>
      </rPr>
      <t>Е 344 ВК 977</t>
    </r>
  </si>
  <si>
    <r>
      <rPr>
        <sz val="8"/>
        <color theme="1"/>
        <rFont val="Times New Roman"/>
        <family val="1"/>
        <charset val="204"/>
      </rPr>
      <t xml:space="preserve">Камаз </t>
    </r>
    <r>
      <rPr>
        <b/>
        <sz val="8"/>
        <color theme="1"/>
        <rFont val="Times New Roman"/>
        <family val="1"/>
        <charset val="204"/>
      </rPr>
      <t xml:space="preserve">       </t>
    </r>
    <r>
      <rPr>
        <b/>
        <i/>
        <sz val="8"/>
        <color theme="1"/>
        <rFont val="Times New Roman"/>
        <family val="1"/>
        <charset val="204"/>
      </rPr>
      <t>К 877 ТУ 799</t>
    </r>
  </si>
  <si>
    <r>
      <rPr>
        <sz val="8"/>
        <color theme="1"/>
        <rFont val="Times New Roman"/>
        <family val="1"/>
        <charset val="204"/>
      </rPr>
      <t>SHACMAN</t>
    </r>
    <r>
      <rPr>
        <b/>
        <sz val="8"/>
        <color theme="1"/>
        <rFont val="Times New Roman"/>
        <family val="1"/>
        <charset val="204"/>
      </rPr>
      <t xml:space="preserve">      </t>
    </r>
    <r>
      <rPr>
        <b/>
        <i/>
        <sz val="8"/>
        <color theme="1"/>
        <rFont val="Times New Roman"/>
        <family val="1"/>
        <charset val="204"/>
      </rPr>
      <t xml:space="preserve"> Х 265 НО 799</t>
    </r>
  </si>
  <si>
    <r>
      <rPr>
        <sz val="8"/>
        <color theme="1"/>
        <rFont val="Times New Roman"/>
        <family val="1"/>
        <charset val="204"/>
      </rPr>
      <t>CASE SR220</t>
    </r>
    <r>
      <rPr>
        <b/>
        <sz val="8"/>
        <color theme="1"/>
        <rFont val="Times New Roman"/>
        <family val="1"/>
        <charset val="204"/>
      </rPr>
      <t xml:space="preserve">   </t>
    </r>
    <r>
      <rPr>
        <b/>
        <i/>
        <sz val="8"/>
        <color theme="1"/>
        <rFont val="Times New Roman"/>
        <family val="1"/>
        <charset val="204"/>
      </rPr>
      <t>77 РЕ 4294</t>
    </r>
    <r>
      <rPr>
        <b/>
        <sz val="8"/>
        <color theme="1"/>
        <rFont val="Times New Roman"/>
        <family val="1"/>
        <charset val="204"/>
      </rPr>
      <t xml:space="preserve"> </t>
    </r>
  </si>
  <si>
    <r>
      <rPr>
        <sz val="8"/>
        <color theme="1"/>
        <rFont val="Times New Roman"/>
        <family val="1"/>
        <charset val="204"/>
      </rPr>
      <t>SANY SY155W</t>
    </r>
    <r>
      <rPr>
        <b/>
        <sz val="8"/>
        <color theme="1"/>
        <rFont val="Times New Roman"/>
        <family val="1"/>
        <charset val="204"/>
      </rPr>
      <t xml:space="preserve">    </t>
    </r>
    <r>
      <rPr>
        <b/>
        <i/>
        <sz val="8"/>
        <color theme="1"/>
        <rFont val="Times New Roman"/>
        <family val="1"/>
        <charset val="204"/>
      </rPr>
      <t>77 МН 9524</t>
    </r>
  </si>
  <si>
    <r>
      <rPr>
        <sz val="8"/>
        <color theme="1"/>
        <rFont val="Times New Roman"/>
        <family val="1"/>
        <charset val="204"/>
      </rPr>
      <t>HD110 HAMM AG</t>
    </r>
    <r>
      <rPr>
        <b/>
        <i/>
        <sz val="8"/>
        <color theme="1"/>
        <rFont val="Times New Roman"/>
        <family val="1"/>
        <charset val="204"/>
      </rPr>
      <t xml:space="preserve">    77 МО 4698</t>
    </r>
  </si>
  <si>
    <r>
      <rPr>
        <sz val="8"/>
        <color theme="1"/>
        <rFont val="Times New Roman"/>
        <family val="1"/>
        <charset val="204"/>
      </rPr>
      <t>VOGEL SUPER 1300-2</t>
    </r>
    <r>
      <rPr>
        <b/>
        <sz val="8"/>
        <color theme="1"/>
        <rFont val="Times New Roman"/>
        <family val="1"/>
        <charset val="204"/>
      </rPr>
      <t xml:space="preserve">  </t>
    </r>
    <r>
      <rPr>
        <b/>
        <i/>
        <sz val="8"/>
        <color theme="1"/>
        <rFont val="Times New Roman"/>
        <family val="1"/>
        <charset val="204"/>
      </rPr>
      <t>77 МН 7351</t>
    </r>
  </si>
  <si>
    <r>
      <rPr>
        <sz val="8"/>
        <color theme="1"/>
        <rFont val="Times New Roman"/>
        <family val="1"/>
        <charset val="204"/>
      </rPr>
      <t xml:space="preserve"> Газель</t>
    </r>
    <r>
      <rPr>
        <b/>
        <sz val="8"/>
        <color theme="1"/>
        <rFont val="Times New Roman"/>
        <family val="1"/>
        <charset val="204"/>
      </rPr>
      <t xml:space="preserve">   </t>
    </r>
    <r>
      <rPr>
        <b/>
        <i/>
        <sz val="8"/>
        <color theme="1"/>
        <rFont val="Times New Roman"/>
        <family val="1"/>
        <charset val="204"/>
      </rPr>
      <t>Т 189 УВ 777</t>
    </r>
  </si>
  <si>
    <r>
      <t xml:space="preserve"> </t>
    </r>
    <r>
      <rPr>
        <sz val="8"/>
        <color theme="1"/>
        <rFont val="Times New Roman"/>
        <family val="1"/>
        <charset val="204"/>
      </rPr>
      <t>Газель</t>
    </r>
    <r>
      <rPr>
        <b/>
        <sz val="8"/>
        <color theme="1"/>
        <rFont val="Times New Roman"/>
        <family val="1"/>
        <charset val="204"/>
      </rPr>
      <t xml:space="preserve">   </t>
    </r>
    <r>
      <rPr>
        <b/>
        <i/>
        <sz val="8"/>
        <color theme="1"/>
        <rFont val="Times New Roman"/>
        <family val="1"/>
        <charset val="204"/>
      </rPr>
      <t>Х 908 УК 799</t>
    </r>
  </si>
  <si>
    <r>
      <t xml:space="preserve"> Газель  </t>
    </r>
    <r>
      <rPr>
        <b/>
        <i/>
        <sz val="8"/>
        <color theme="1"/>
        <rFont val="Times New Roman"/>
        <family val="1"/>
        <charset val="204"/>
      </rPr>
      <t>С 982 ОА 797</t>
    </r>
  </si>
  <si>
    <r>
      <rPr>
        <sz val="8"/>
        <color theme="1"/>
        <rFont val="Times New Roman"/>
        <family val="1"/>
        <charset val="204"/>
      </rPr>
      <t>Газель</t>
    </r>
    <r>
      <rPr>
        <b/>
        <i/>
        <sz val="8"/>
        <color theme="1"/>
        <rFont val="Times New Roman"/>
        <family val="1"/>
        <charset val="204"/>
      </rPr>
      <t xml:space="preserve"> О 035 КН 799</t>
    </r>
  </si>
  <si>
    <r>
      <rPr>
        <sz val="8"/>
        <color theme="1"/>
        <rFont val="Times New Roman"/>
        <family val="1"/>
        <charset val="204"/>
      </rPr>
      <t>Газель</t>
    </r>
    <r>
      <rPr>
        <b/>
        <sz val="8"/>
        <color theme="1"/>
        <rFont val="Times New Roman"/>
        <family val="1"/>
        <charset val="204"/>
      </rPr>
      <t xml:space="preserve">  </t>
    </r>
    <r>
      <rPr>
        <b/>
        <i/>
        <sz val="8"/>
        <color theme="1"/>
        <rFont val="Times New Roman"/>
        <family val="1"/>
        <charset val="204"/>
      </rPr>
      <t xml:space="preserve"> O 503 PT 777</t>
    </r>
  </si>
  <si>
    <r>
      <rPr>
        <sz val="8"/>
        <color theme="1"/>
        <rFont val="Times New Roman"/>
        <family val="1"/>
        <charset val="204"/>
      </rPr>
      <t>Ford Transit</t>
    </r>
    <r>
      <rPr>
        <b/>
        <sz val="8"/>
        <color theme="1"/>
        <rFont val="Times New Roman"/>
        <family val="1"/>
        <charset val="204"/>
      </rPr>
      <t xml:space="preserve">     </t>
    </r>
    <r>
      <rPr>
        <b/>
        <i/>
        <sz val="8"/>
        <color theme="1"/>
        <rFont val="Times New Roman"/>
        <family val="1"/>
        <charset val="204"/>
      </rPr>
      <t>Н 680 В0 977</t>
    </r>
  </si>
  <si>
    <r>
      <rPr>
        <sz val="8"/>
        <color theme="1"/>
        <rFont val="Times New Roman"/>
        <family val="1"/>
        <charset val="204"/>
      </rPr>
      <t xml:space="preserve">Ford Transit </t>
    </r>
    <r>
      <rPr>
        <b/>
        <sz val="8"/>
        <color theme="1"/>
        <rFont val="Times New Roman"/>
        <family val="1"/>
        <charset val="204"/>
      </rPr>
      <t xml:space="preserve">      </t>
    </r>
    <r>
      <rPr>
        <b/>
        <i/>
        <sz val="8"/>
        <color theme="1"/>
        <rFont val="Times New Roman"/>
        <family val="1"/>
        <charset val="204"/>
      </rPr>
      <t xml:space="preserve"> E 390 HP 797 </t>
    </r>
  </si>
  <si>
    <r>
      <rPr>
        <sz val="8"/>
        <color theme="1"/>
        <rFont val="Times New Roman"/>
        <family val="1"/>
        <charset val="204"/>
      </rPr>
      <t>Камаз</t>
    </r>
    <r>
      <rPr>
        <b/>
        <sz val="8"/>
        <color theme="1"/>
        <rFont val="Times New Roman"/>
        <family val="1"/>
        <charset val="204"/>
      </rPr>
      <t xml:space="preserve">    </t>
    </r>
    <r>
      <rPr>
        <b/>
        <i/>
        <sz val="8"/>
        <color theme="1"/>
        <rFont val="Times New Roman"/>
        <family val="1"/>
        <charset val="204"/>
      </rPr>
      <t xml:space="preserve"> К 927 ТУ 799</t>
    </r>
  </si>
  <si>
    <r>
      <rPr>
        <sz val="8"/>
        <color theme="1"/>
        <rFont val="Times New Roman"/>
        <family val="1"/>
        <charset val="204"/>
      </rPr>
      <t>Камаз</t>
    </r>
    <r>
      <rPr>
        <b/>
        <sz val="8"/>
        <color theme="1"/>
        <rFont val="Times New Roman"/>
        <family val="1"/>
        <charset val="204"/>
      </rPr>
      <t xml:space="preserve">  </t>
    </r>
    <r>
      <rPr>
        <b/>
        <i/>
        <sz val="8"/>
        <color theme="1"/>
        <rFont val="Times New Roman"/>
        <family val="1"/>
        <charset val="204"/>
      </rPr>
      <t xml:space="preserve"> Н 487 АА 977</t>
    </r>
  </si>
  <si>
    <r>
      <rPr>
        <sz val="8"/>
        <color theme="1"/>
        <rFont val="Times New Roman"/>
        <family val="1"/>
        <charset val="204"/>
      </rPr>
      <t>Камаз</t>
    </r>
    <r>
      <rPr>
        <b/>
        <sz val="8"/>
        <color theme="1"/>
        <rFont val="Times New Roman"/>
        <family val="1"/>
        <charset val="204"/>
      </rPr>
      <t xml:space="preserve"> </t>
    </r>
    <r>
      <rPr>
        <b/>
        <i/>
        <sz val="8"/>
        <color theme="1"/>
        <rFont val="Times New Roman"/>
        <family val="1"/>
        <charset val="204"/>
      </rPr>
      <t xml:space="preserve"> К 994 ТУ 799</t>
    </r>
  </si>
  <si>
    <r>
      <rPr>
        <sz val="8"/>
        <color theme="1"/>
        <rFont val="Times New Roman"/>
        <family val="1"/>
        <charset val="204"/>
      </rPr>
      <t>Caterpillar PM620</t>
    </r>
    <r>
      <rPr>
        <b/>
        <i/>
        <sz val="8"/>
        <color theme="1"/>
        <rFont val="Times New Roman"/>
        <family val="1"/>
        <charset val="204"/>
      </rPr>
      <t xml:space="preserve">  77 РВ 6778</t>
    </r>
  </si>
  <si>
    <r>
      <rPr>
        <sz val="8"/>
        <color theme="1"/>
        <rFont val="Times New Roman"/>
        <family val="1"/>
        <charset val="204"/>
      </rPr>
      <t>Caterpillar PM620</t>
    </r>
    <r>
      <rPr>
        <b/>
        <sz val="8"/>
        <color theme="1"/>
        <rFont val="Times New Roman"/>
        <family val="1"/>
        <charset val="204"/>
      </rPr>
      <t xml:space="preserve"> </t>
    </r>
    <r>
      <rPr>
        <b/>
        <i/>
        <sz val="8"/>
        <color theme="1"/>
        <rFont val="Times New Roman"/>
        <family val="1"/>
        <charset val="204"/>
      </rPr>
      <t xml:space="preserve">  77 РВ 8497</t>
    </r>
  </si>
  <si>
    <r>
      <rPr>
        <sz val="8"/>
        <color theme="1"/>
        <rFont val="Times New Roman"/>
        <family val="1"/>
        <charset val="204"/>
      </rPr>
      <t>Caterpillar 432F2</t>
    </r>
    <r>
      <rPr>
        <b/>
        <sz val="8"/>
        <color theme="1"/>
        <rFont val="Times New Roman"/>
        <family val="1"/>
        <charset val="204"/>
      </rPr>
      <t xml:space="preserve">   </t>
    </r>
    <r>
      <rPr>
        <b/>
        <i/>
        <sz val="8"/>
        <color theme="1"/>
        <rFont val="Times New Roman"/>
        <family val="1"/>
        <charset val="204"/>
      </rPr>
      <t>77 РВ 6800</t>
    </r>
  </si>
  <si>
    <r>
      <rPr>
        <sz val="8"/>
        <color theme="1"/>
        <rFont val="Times New Roman"/>
        <family val="1"/>
        <charset val="204"/>
      </rPr>
      <t>Caterpiliar 318CL</t>
    </r>
    <r>
      <rPr>
        <b/>
        <sz val="8"/>
        <color theme="1"/>
        <rFont val="Times New Roman"/>
        <family val="1"/>
        <charset val="204"/>
      </rPr>
      <t xml:space="preserve">   </t>
    </r>
    <r>
      <rPr>
        <b/>
        <i/>
        <sz val="8"/>
        <color theme="1"/>
        <rFont val="Times New Roman"/>
        <family val="1"/>
        <charset val="204"/>
      </rPr>
      <t xml:space="preserve"> 77 РК 7946</t>
    </r>
  </si>
  <si>
    <r>
      <rPr>
        <sz val="8"/>
        <color theme="1"/>
        <rFont val="Times New Roman"/>
        <family val="1"/>
        <charset val="204"/>
      </rPr>
      <t>HAMM HD 090V</t>
    </r>
    <r>
      <rPr>
        <b/>
        <i/>
        <sz val="8"/>
        <color theme="1"/>
        <rFont val="Times New Roman"/>
        <family val="1"/>
        <charset val="204"/>
      </rPr>
      <t xml:space="preserve">   77 МН 4897</t>
    </r>
  </si>
  <si>
    <r>
      <rPr>
        <sz val="8"/>
        <color theme="1"/>
        <rFont val="Times New Roman"/>
        <family val="1"/>
        <charset val="204"/>
      </rPr>
      <t>AMMANN ARX 26К</t>
    </r>
    <r>
      <rPr>
        <b/>
        <i/>
        <sz val="8"/>
        <color theme="1"/>
        <rFont val="Times New Roman"/>
        <family val="1"/>
        <charset val="204"/>
      </rPr>
      <t xml:space="preserve">   77 РА 4897 </t>
    </r>
  </si>
  <si>
    <r>
      <rPr>
        <sz val="8"/>
        <color theme="1"/>
        <rFont val="Times New Roman"/>
        <family val="1"/>
        <charset val="204"/>
      </rPr>
      <t>SANY SY155W</t>
    </r>
    <r>
      <rPr>
        <b/>
        <sz val="8"/>
        <color theme="1"/>
        <rFont val="Times New Roman"/>
        <family val="1"/>
        <charset val="204"/>
      </rPr>
      <t xml:space="preserve">    </t>
    </r>
    <r>
      <rPr>
        <b/>
        <i/>
        <sz val="8"/>
        <color theme="1"/>
        <rFont val="Times New Roman"/>
        <family val="1"/>
        <charset val="204"/>
      </rPr>
      <t>77 ММ 7013</t>
    </r>
  </si>
  <si>
    <r>
      <rPr>
        <sz val="8"/>
        <color theme="1"/>
        <rFont val="Times New Roman"/>
        <family val="1"/>
        <charset val="204"/>
      </rPr>
      <t>SCANIA</t>
    </r>
    <r>
      <rPr>
        <b/>
        <sz val="8"/>
        <color theme="1"/>
        <rFont val="Times New Roman"/>
        <family val="1"/>
        <charset val="204"/>
      </rPr>
      <t xml:space="preserve">    </t>
    </r>
    <r>
      <rPr>
        <b/>
        <i/>
        <sz val="8"/>
        <color theme="1"/>
        <rFont val="Times New Roman"/>
        <family val="1"/>
        <charset val="204"/>
      </rPr>
      <t xml:space="preserve"> М 949 ХУ 799</t>
    </r>
  </si>
  <si>
    <r>
      <rPr>
        <sz val="8"/>
        <color theme="1"/>
        <rFont val="Times New Roman"/>
        <family val="1"/>
        <charset val="204"/>
      </rPr>
      <t>Caterpillar 428</t>
    </r>
    <r>
      <rPr>
        <b/>
        <sz val="8"/>
        <color theme="1"/>
        <rFont val="Times New Roman"/>
        <family val="1"/>
        <charset val="204"/>
      </rPr>
      <t xml:space="preserve"> </t>
    </r>
    <r>
      <rPr>
        <b/>
        <i/>
        <sz val="8"/>
        <color theme="1"/>
        <rFont val="Times New Roman"/>
        <family val="1"/>
        <charset val="204"/>
      </rPr>
      <t xml:space="preserve"> 77 ММ 7056</t>
    </r>
  </si>
  <si>
    <r>
      <rPr>
        <sz val="8"/>
        <color theme="1"/>
        <rFont val="Times New Roman"/>
        <family val="1"/>
        <charset val="204"/>
      </rPr>
      <t>WIRTGEN W200</t>
    </r>
    <r>
      <rPr>
        <b/>
        <i/>
        <sz val="8"/>
        <color theme="1"/>
        <rFont val="Times New Roman"/>
        <family val="1"/>
        <charset val="204"/>
      </rPr>
      <t xml:space="preserve">     77 РВ 6822</t>
    </r>
  </si>
  <si>
    <r>
      <rPr>
        <sz val="8"/>
        <color theme="1"/>
        <rFont val="Times New Roman"/>
        <family val="1"/>
        <charset val="204"/>
      </rPr>
      <t xml:space="preserve"> ZDM ZDM-10-VC</t>
    </r>
    <r>
      <rPr>
        <b/>
        <i/>
        <sz val="8"/>
        <color theme="1"/>
        <rFont val="Times New Roman"/>
        <family val="1"/>
        <charset val="204"/>
      </rPr>
      <t xml:space="preserve">  77 МН 9580</t>
    </r>
  </si>
  <si>
    <r>
      <rPr>
        <sz val="8"/>
        <color theme="1"/>
        <rFont val="Times New Roman"/>
        <family val="1"/>
        <charset val="204"/>
      </rPr>
      <t>SANY SY155W</t>
    </r>
    <r>
      <rPr>
        <b/>
        <sz val="8"/>
        <color theme="1"/>
        <rFont val="Times New Roman"/>
        <family val="1"/>
        <charset val="204"/>
      </rPr>
      <t xml:space="preserve">  </t>
    </r>
    <r>
      <rPr>
        <b/>
        <i/>
        <sz val="8"/>
        <color theme="1"/>
        <rFont val="Times New Roman"/>
        <family val="1"/>
        <charset val="204"/>
      </rPr>
      <t xml:space="preserve"> 77 РМ 6820 </t>
    </r>
  </si>
  <si>
    <r>
      <rPr>
        <sz val="8"/>
        <color theme="1"/>
        <rFont val="Times New Roman"/>
        <family val="1"/>
        <charset val="204"/>
      </rPr>
      <t>Case 580Т</t>
    </r>
    <r>
      <rPr>
        <b/>
        <sz val="8"/>
        <color theme="1"/>
        <rFont val="Times New Roman"/>
        <family val="1"/>
        <charset val="204"/>
      </rPr>
      <t xml:space="preserve">   </t>
    </r>
    <r>
      <rPr>
        <b/>
        <i/>
        <sz val="8"/>
        <color theme="1"/>
        <rFont val="Times New Roman"/>
        <family val="1"/>
        <charset val="204"/>
      </rPr>
      <t>77 РЕ 4293</t>
    </r>
  </si>
  <si>
    <r>
      <rPr>
        <sz val="8"/>
        <color theme="1"/>
        <rFont val="Times New Roman"/>
        <family val="1"/>
        <charset val="204"/>
      </rPr>
      <t>SITRAK</t>
    </r>
    <r>
      <rPr>
        <b/>
        <sz val="8"/>
        <color theme="1"/>
        <rFont val="Times New Roman"/>
        <family val="1"/>
        <charset val="204"/>
      </rPr>
      <t xml:space="preserve">  </t>
    </r>
    <r>
      <rPr>
        <b/>
        <i/>
        <sz val="8"/>
        <color theme="1"/>
        <rFont val="Times New Roman"/>
        <family val="1"/>
        <charset val="204"/>
      </rPr>
      <t xml:space="preserve">H 478 BO 977 </t>
    </r>
  </si>
  <si>
    <r>
      <rPr>
        <sz val="8"/>
        <color theme="1"/>
        <rFont val="Times New Roman"/>
        <family val="1"/>
        <charset val="204"/>
      </rPr>
      <t>Камаз</t>
    </r>
    <r>
      <rPr>
        <b/>
        <sz val="8"/>
        <color theme="1"/>
        <rFont val="Times New Roman"/>
        <family val="1"/>
        <charset val="204"/>
      </rPr>
      <t xml:space="preserve">   </t>
    </r>
    <r>
      <rPr>
        <b/>
        <i/>
        <sz val="8"/>
        <color theme="1"/>
        <rFont val="Times New Roman"/>
        <family val="1"/>
        <charset val="204"/>
      </rPr>
      <t>К 983 ТУ 799</t>
    </r>
  </si>
  <si>
    <r>
      <rPr>
        <sz val="8"/>
        <color theme="1"/>
        <rFont val="Times New Roman"/>
        <family val="1"/>
        <charset val="204"/>
      </rPr>
      <t>WIRTGEN W210</t>
    </r>
    <r>
      <rPr>
        <b/>
        <i/>
        <sz val="8"/>
        <color theme="1"/>
        <rFont val="Times New Roman"/>
        <family val="1"/>
        <charset val="204"/>
      </rPr>
      <t xml:space="preserve">    77 РЕ 4341</t>
    </r>
  </si>
  <si>
    <r>
      <rPr>
        <i/>
        <sz val="8"/>
        <color theme="1"/>
        <rFont val="Times New Roman"/>
        <family val="1"/>
        <charset val="204"/>
      </rPr>
      <t xml:space="preserve"> </t>
    </r>
    <r>
      <rPr>
        <sz val="8"/>
        <color theme="1"/>
        <rFont val="Times New Roman"/>
        <family val="1"/>
        <charset val="204"/>
      </rPr>
      <t>ZDM DM-10-VD</t>
    </r>
    <r>
      <rPr>
        <b/>
        <i/>
        <sz val="8"/>
        <color theme="1"/>
        <rFont val="Times New Roman"/>
        <family val="1"/>
        <charset val="204"/>
      </rPr>
      <t xml:space="preserve">   77 МН 9579</t>
    </r>
  </si>
  <si>
    <r>
      <rPr>
        <sz val="8"/>
        <color theme="1"/>
        <rFont val="Times New Roman"/>
        <family val="1"/>
        <charset val="204"/>
      </rPr>
      <t>SANY SY155W</t>
    </r>
    <r>
      <rPr>
        <b/>
        <sz val="8"/>
        <color theme="1"/>
        <rFont val="Times New Roman"/>
        <family val="1"/>
        <charset val="204"/>
      </rPr>
      <t xml:space="preserve">   </t>
    </r>
    <r>
      <rPr>
        <b/>
        <i/>
        <sz val="8"/>
        <color theme="1"/>
        <rFont val="Times New Roman"/>
        <family val="1"/>
        <charset val="204"/>
      </rPr>
      <t xml:space="preserve">77 МН 9525 </t>
    </r>
  </si>
  <si>
    <r>
      <rPr>
        <sz val="8"/>
        <color theme="1"/>
        <rFont val="Times New Roman"/>
        <family val="1"/>
        <charset val="204"/>
      </rPr>
      <t>CASE SR200B</t>
    </r>
    <r>
      <rPr>
        <b/>
        <sz val="8"/>
        <color theme="1"/>
        <rFont val="Times New Roman"/>
        <family val="1"/>
        <charset val="204"/>
      </rPr>
      <t xml:space="preserve">    </t>
    </r>
    <r>
      <rPr>
        <b/>
        <i/>
        <sz val="8"/>
        <color theme="1"/>
        <rFont val="Times New Roman"/>
        <family val="1"/>
        <charset val="204"/>
      </rPr>
      <t xml:space="preserve">77 ММ 7010 </t>
    </r>
  </si>
  <si>
    <r>
      <rPr>
        <sz val="8"/>
        <color theme="1"/>
        <rFont val="Times New Roman"/>
        <family val="1"/>
        <charset val="204"/>
      </rPr>
      <t>VOGEL SUPER 1900-2</t>
    </r>
    <r>
      <rPr>
        <b/>
        <sz val="8"/>
        <color theme="1"/>
        <rFont val="Times New Roman"/>
        <family val="1"/>
        <charset val="204"/>
      </rPr>
      <t xml:space="preserve">   </t>
    </r>
    <r>
      <rPr>
        <b/>
        <i/>
        <sz val="8"/>
        <color theme="1"/>
        <rFont val="Times New Roman"/>
        <family val="1"/>
        <charset val="204"/>
      </rPr>
      <t>77 РЕ 5812</t>
    </r>
  </si>
  <si>
    <r>
      <rPr>
        <sz val="8"/>
        <color theme="1"/>
        <rFont val="Times New Roman"/>
        <family val="1"/>
        <charset val="204"/>
      </rPr>
      <t>AMMANN ARX45-2</t>
    </r>
    <r>
      <rPr>
        <b/>
        <i/>
        <sz val="8"/>
        <color theme="1"/>
        <rFont val="Times New Roman"/>
        <family val="1"/>
        <charset val="204"/>
      </rPr>
      <t xml:space="preserve">  77 ММ 7011</t>
    </r>
  </si>
  <si>
    <r>
      <t xml:space="preserve">Volkswagen CADDY  </t>
    </r>
    <r>
      <rPr>
        <b/>
        <i/>
        <sz val="10"/>
        <rFont val="Times New Roman"/>
        <family val="1"/>
        <charset val="204"/>
      </rPr>
      <t>А 026 ХС</t>
    </r>
  </si>
  <si>
    <t>50 XP 0737</t>
  </si>
  <si>
    <t>NKJ570STHHKH00184</t>
  </si>
  <si>
    <t>не переоформлен, доки не действ.</t>
  </si>
  <si>
    <r>
      <t>99 65 996462 </t>
    </r>
    <r>
      <rPr>
        <sz val="11"/>
        <rFont val="Times New Roman"/>
        <family val="1"/>
        <charset val="204"/>
      </rPr>
      <t>от 12.09.2024</t>
    </r>
  </si>
  <si>
    <r>
      <t xml:space="preserve">SHACMAN                     </t>
    </r>
    <r>
      <rPr>
        <b/>
        <i/>
        <sz val="12"/>
        <color theme="1"/>
        <rFont val="Times New Roman"/>
        <family val="1"/>
        <charset val="204"/>
      </rPr>
      <t xml:space="preserve"> О 989 РЕ 799</t>
    </r>
  </si>
  <si>
    <r>
      <t>№ ГТО (</t>
    </r>
    <r>
      <rPr>
        <b/>
        <i/>
        <sz val="11"/>
        <color theme="1"/>
        <rFont val="Times New Roman"/>
        <family val="1"/>
        <charset val="204"/>
      </rPr>
      <t>№</t>
    </r>
    <r>
      <rPr>
        <b/>
        <sz val="11"/>
        <color theme="1"/>
        <rFont val="Times New Roman"/>
        <family val="1"/>
        <charset val="204"/>
      </rPr>
      <t>Диагн-й карты)</t>
    </r>
  </si>
  <si>
    <t>СН 427843 от 07.02.2025</t>
  </si>
  <si>
    <t>ДУТ</t>
  </si>
  <si>
    <t>127811052500327</t>
  </si>
  <si>
    <t>Арамян Н.Г.</t>
  </si>
  <si>
    <t>Астоян А.Г.</t>
  </si>
  <si>
    <t>ГАЗ-A22R32 (грузовой с бортром)</t>
  </si>
  <si>
    <t>\</t>
  </si>
  <si>
    <t>Марка ТС</t>
  </si>
  <si>
    <t>г\н</t>
  </si>
  <si>
    <t>номер п\п</t>
  </si>
  <si>
    <t xml:space="preserve"> М 320 КО 977</t>
  </si>
  <si>
    <t>Автосамосвал КАМАЗ К3340 6520-54</t>
  </si>
  <si>
    <t>Автосамосвал КАМАЗ К3340 6520-55</t>
  </si>
  <si>
    <t>К 966 МУ 799</t>
  </si>
  <si>
    <t>Р 177 ММ 797</t>
  </si>
  <si>
    <r>
      <t xml:space="preserve">ЭП Case 570SТ  </t>
    </r>
    <r>
      <rPr>
        <b/>
        <i/>
        <sz val="9"/>
        <rFont val="Times New Roman"/>
        <family val="1"/>
        <charset val="204"/>
      </rPr>
      <t>50 XP 0737</t>
    </r>
  </si>
  <si>
    <t xml:space="preserve">LADA НИВА  4X4 </t>
  </si>
  <si>
    <r>
      <rPr>
        <sz val="8"/>
        <color theme="1"/>
        <rFont val="Times New Roman"/>
        <family val="1"/>
        <charset val="204"/>
      </rPr>
      <t xml:space="preserve">LADA Нива        </t>
    </r>
    <r>
      <rPr>
        <b/>
        <sz val="8"/>
        <color theme="1"/>
        <rFont val="Times New Roman"/>
        <family val="1"/>
        <charset val="204"/>
      </rPr>
      <t xml:space="preserve"> </t>
    </r>
    <r>
      <rPr>
        <b/>
        <i/>
        <sz val="8"/>
        <color theme="1"/>
        <rFont val="Times New Roman"/>
        <family val="1"/>
        <charset val="204"/>
      </rPr>
      <t>Н 481 ОУ 797</t>
    </r>
  </si>
  <si>
    <t>01.04.2027</t>
  </si>
  <si>
    <t>Автосамосвал КАМАЗ К3340 6520-53  20 тн.-5 ед.                             Самосвал SHACMAN SX3255DR384  20 тн. -5 ед.     SCANIA Р400 СА6Х4НSZ Грузовой тягач седельный с тралом 1 ед. Sitrak C7Н с тралом - 1 ед.Фронтальный погручик XCMG ZL3OGV XCMG Погрузчик фронтальный  ENSIGN  YX635Колесный экскаватор SANY,SY155W - 4 ед.Колесный мини-погрузчик CASE SR200B - 2 ед.Экскаватор погрузчик Case 580Т  (570) - 2 ед.Экскаватор-погрузчик Caterpillar 428 (432) - 25 ед.Гусеничный экскаватор SANY,SY55C(75С) - 2 ед. Экскаватор Caterpiliar Inc.318CL - 1 ед.Каток вибрационный LIUGONG CLG66 1 ед.Каток дорожный AMMANN ARX45-2 - 2 ед.Каток дорожный самоходный ZDM DM-10-VD (10-VС)- 2 ед.СМ КАТОК HAMM HD 090V (HD -110) - 2 ед.каток дорожный самоходный вибрационный AMMANN, ARX 26 - 1 ед.СМ КАТОК Дорожный BW 161 AD-4  - 1 ед.Асфальтоукладчик VOGEL SUPER 1900-2  6 метр (5 метр.) - 2 ед. Асфальтоукладчик VOGEL SUPER 1300 2- 1 ед.Холодная дорожная Фреза WIRTGEN W200 (WIRTGEN W210, Caterpillar PM 620) - 3 ед.</t>
  </si>
  <si>
    <t>ГСМ</t>
  </si>
  <si>
    <t>моя</t>
  </si>
  <si>
    <t>157141022500162</t>
  </si>
  <si>
    <t>05.04.2026</t>
  </si>
  <si>
    <t>142401042501075</t>
  </si>
  <si>
    <t>Одометр</t>
  </si>
  <si>
    <t xml:space="preserve">МУП-351.ТСТ машина для ком-го хозяйства   </t>
  </si>
  <si>
    <t>Kia оптима</t>
  </si>
  <si>
    <t>камри</t>
  </si>
  <si>
    <t>01 мая</t>
  </si>
  <si>
    <t>01 июня</t>
  </si>
  <si>
    <t xml:space="preserve">А 382 МН 977 </t>
  </si>
  <si>
    <t>156671032500513</t>
  </si>
  <si>
    <t>25.12.2025</t>
  </si>
  <si>
    <t>99 70 529490 от 27.06.2025</t>
  </si>
  <si>
    <t>99 63 821586 от 14.09.2024</t>
  </si>
  <si>
    <t>ХХХ 0551579469</t>
  </si>
  <si>
    <t>ХХХ 0564329791</t>
  </si>
  <si>
    <t>ХХХ 0564348685</t>
  </si>
  <si>
    <t>ХХХ 0565577145</t>
  </si>
  <si>
    <t>ХХХ 0565573523</t>
  </si>
  <si>
    <t>ХХХ 0565576512</t>
  </si>
  <si>
    <t>ХХХ 0565843375</t>
  </si>
  <si>
    <t>ХХХ 0568547573</t>
  </si>
  <si>
    <t>1 июля</t>
  </si>
  <si>
    <t>1 августа</t>
  </si>
  <si>
    <t>1 сентября</t>
  </si>
  <si>
    <t>ХХХ 0568545456</t>
  </si>
  <si>
    <t>ХХХ0568561431</t>
  </si>
  <si>
    <t>ХХХ 0568543850</t>
  </si>
  <si>
    <t>ХХХ 0568540085</t>
  </si>
  <si>
    <t>ХХХ0568541991</t>
  </si>
  <si>
    <t>77 ТХ 772096 от 25.09.2025</t>
  </si>
  <si>
    <t>ХХХ 0568834847</t>
  </si>
  <si>
    <t>MERSEDES - BENZ S 350D MATIK</t>
  </si>
  <si>
    <t>WDD2221211A520960</t>
  </si>
  <si>
    <t>ХХХ 0574017820</t>
  </si>
  <si>
    <t>ХХХ 0573949010</t>
  </si>
  <si>
    <t xml:space="preserve">77 МХ 3409 </t>
  </si>
  <si>
    <t>СН 804705 от 22.10.2025</t>
  </si>
  <si>
    <t>ТН 100458</t>
  </si>
  <si>
    <t>Арамян Г.К</t>
  </si>
  <si>
    <t>77 МХ 0605</t>
  </si>
  <si>
    <t>СН 795100 от 17.09.2025</t>
  </si>
  <si>
    <t>RU CВ 487198от 14.06.2022</t>
  </si>
  <si>
    <t>09.2026</t>
  </si>
  <si>
    <t>СН 804805 от 01.11.2025</t>
  </si>
  <si>
    <t>М 320 КО 977</t>
  </si>
  <si>
    <t>77 ХА 285519 от 04.10.2022</t>
  </si>
  <si>
    <t>ХХХ0606898029</t>
  </si>
  <si>
    <t>ХХХ 0692354468</t>
  </si>
  <si>
    <t>ХХХ 0609234326</t>
  </si>
  <si>
    <t>ХХХ 0609236070</t>
  </si>
  <si>
    <t>99 76 992467</t>
  </si>
  <si>
    <t>Т443МУ977</t>
  </si>
  <si>
    <t>HYUNDAI SOLARIS</t>
  </si>
  <si>
    <t>С905СС99</t>
  </si>
  <si>
    <t>99 73 019574 от 02.04.2025</t>
  </si>
  <si>
    <t>157141012600167</t>
  </si>
  <si>
    <t>157141022600152</t>
  </si>
  <si>
    <t>СН 806962 от 17.02.26</t>
  </si>
  <si>
    <t>364303006675641 от 26.02.2026</t>
  </si>
  <si>
    <t>Экскаватор погрузчик Case 570 ST</t>
  </si>
  <si>
    <t>77  МХ 0605</t>
  </si>
  <si>
    <t>ХХХ 0625374567</t>
  </si>
  <si>
    <t>ХХХ 0629687194</t>
  </si>
  <si>
    <t>ХХХ 0629684645</t>
  </si>
  <si>
    <t>ХХХ 0629685859</t>
  </si>
  <si>
    <t>ХХХ 0630209723</t>
  </si>
  <si>
    <t>ХХХ 0630214443</t>
  </si>
  <si>
    <t>ХХХ 0633167725</t>
  </si>
  <si>
    <t>ХХХ 0633170594</t>
  </si>
  <si>
    <t>ХХХ 0633169007</t>
  </si>
  <si>
    <t>ХХХ 0633167423</t>
  </si>
  <si>
    <t>ХХХ 0630211909</t>
  </si>
  <si>
    <t>99 82 347949 от 09.04.2026</t>
  </si>
  <si>
    <t>ХХХ 0637310288</t>
  </si>
  <si>
    <t>ХХХ 0637311514</t>
  </si>
  <si>
    <t>ХХХ 0637321026</t>
  </si>
  <si>
    <t>ХХХ 0637313688</t>
  </si>
  <si>
    <t>ХХХ 0640046382</t>
  </si>
  <si>
    <t>ХХХ 0640047226</t>
  </si>
  <si>
    <t>ХХХ 0640049245</t>
  </si>
  <si>
    <t>ХХХ 0633168225</t>
  </si>
  <si>
    <t>ХХХ0649023229</t>
  </si>
  <si>
    <t>ХХХ 0649016617</t>
  </si>
  <si>
    <t>ХХХ 0649018081</t>
  </si>
  <si>
    <t>ХХХ 0649019294</t>
  </si>
  <si>
    <t>ХХХ 0649020980</t>
  </si>
  <si>
    <t>ХХХ 0649022252</t>
  </si>
  <si>
    <t>ХХХ 0652263303</t>
  </si>
  <si>
    <t>99 83 467550 от 10.03.2026</t>
  </si>
  <si>
    <t>99 83 467551 от 10.06.2026</t>
  </si>
  <si>
    <t>99 83 467824 от 16.06.2026</t>
  </si>
  <si>
    <t>99 83 467825 от 16.06.2026</t>
  </si>
  <si>
    <t>ХХХ 0664865474</t>
  </si>
  <si>
    <t>Лизинг</t>
  </si>
  <si>
    <t>Экскаватор SANY,330Н</t>
  </si>
  <si>
    <t>77 РМ 7948</t>
  </si>
  <si>
    <t>ХХХ 0672978792</t>
  </si>
  <si>
    <t>ХХХ 0672981151</t>
  </si>
  <si>
    <t>ХХХ 0672988151</t>
  </si>
  <si>
    <t>99 38 544632</t>
  </si>
  <si>
    <t>ХХХ 0674799934</t>
  </si>
  <si>
    <t>ХХХ 0674799181</t>
  </si>
  <si>
    <t>ХХХ 0680567167</t>
  </si>
  <si>
    <t>ХХХ 0691476612</t>
  </si>
  <si>
    <t>ХХХ 0691474544</t>
  </si>
  <si>
    <t>ХХХ 0691473369</t>
  </si>
  <si>
    <t>SY0332CCN0038\0E1110308N3L70091CC</t>
  </si>
  <si>
    <t>Sany SY 330H</t>
  </si>
  <si>
    <t>СМ 634248 от 08.11.2022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</si>
</sst>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36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9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name val="Times New Roman"/>
      <family val="1"/>
      <charset val="204"/>
    </font>
    <font>
      <b/>
      <i/>
      <sz val="8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8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b/>
      <i/>
      <sz val="10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i/>
      <sz val="26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26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i/>
      <sz val="8"/>
      <color theme="1"/>
      <name val="Times New Roman"/>
      <family val="1"/>
      <charset val="204"/>
    </font>
    <font>
      <b/>
      <i/>
      <sz val="1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rgb="FF192534"/>
      <name val="Times New Roman"/>
      <family val="1"/>
      <charset val="204"/>
    </font>
    <font>
      <b/>
      <i/>
      <sz val="24"/>
      <color theme="1"/>
      <name val="Times New Roman"/>
      <family val="1"/>
      <charset val="204"/>
    </font>
    <font>
      <b/>
      <i/>
      <sz val="9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b/>
      <sz val="18"/>
      <color theme="1"/>
      <name val="Times New Roman"/>
      <family val="1"/>
      <charset val="204"/>
    </font>
    <font>
      <b/>
      <sz val="15"/>
      <name val="Times New Roman"/>
      <family val="1"/>
      <charset val="204"/>
    </font>
    <font>
      <sz val="10"/>
      <name val="Times New Roman"/>
      <family val="1"/>
      <charset val="204"/>
    </font>
    <font>
      <sz val="8"/>
      <color rgb="FF192534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6DD9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495">
    <xf numFmtId="0" fontId="0" fillId="0" borderId="0" xfId="0"/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vertical="top" wrapText="1" indent="1"/>
    </xf>
    <xf numFmtId="0" fontId="3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 vertical="top" wrapText="1" indent="1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1" fontId="6" fillId="2" borderId="3" xfId="0" applyNumberFormat="1" applyFont="1" applyFill="1" applyBorder="1" applyAlignment="1">
      <alignment horizontal="center"/>
    </xf>
    <xf numFmtId="1" fontId="6" fillId="2" borderId="3" xfId="0" applyNumberFormat="1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14" fontId="3" fillId="3" borderId="1" xfId="0" applyNumberFormat="1" applyFont="1" applyFill="1" applyBorder="1" applyAlignment="1">
      <alignment horizontal="left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left" wrapText="1"/>
    </xf>
    <xf numFmtId="1" fontId="3" fillId="3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left"/>
    </xf>
    <xf numFmtId="1" fontId="3" fillId="0" borderId="1" xfId="0" applyNumberFormat="1" applyFont="1" applyBorder="1" applyAlignment="1">
      <alignment horizontal="center"/>
    </xf>
    <xf numFmtId="14" fontId="3" fillId="0" borderId="1" xfId="0" applyNumberFormat="1" applyFont="1" applyBorder="1" applyAlignment="1">
      <alignment horizontal="left"/>
    </xf>
    <xf numFmtId="0" fontId="3" fillId="4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3" fillId="3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3" fillId="3" borderId="0" xfId="0" applyFont="1" applyFill="1" applyAlignment="1">
      <alignment horizontal="left"/>
    </xf>
    <xf numFmtId="0" fontId="3" fillId="7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left"/>
    </xf>
    <xf numFmtId="0" fontId="3" fillId="7" borderId="1" xfId="0" applyFont="1" applyFill="1" applyBorder="1" applyAlignment="1">
      <alignment horizontal="center" vertical="center"/>
    </xf>
    <xf numFmtId="1" fontId="3" fillId="7" borderId="1" xfId="0" applyNumberFormat="1" applyFont="1" applyFill="1" applyBorder="1" applyAlignment="1">
      <alignment horizontal="left"/>
    </xf>
    <xf numFmtId="1" fontId="3" fillId="7" borderId="1" xfId="0" applyNumberFormat="1" applyFont="1" applyFill="1" applyBorder="1" applyAlignment="1">
      <alignment horizontal="center"/>
    </xf>
    <xf numFmtId="14" fontId="3" fillId="7" borderId="1" xfId="0" applyNumberFormat="1" applyFont="1" applyFill="1" applyBorder="1" applyAlignment="1">
      <alignment horizontal="left"/>
    </xf>
    <xf numFmtId="0" fontId="4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8" fillId="0" borderId="1" xfId="0" applyFont="1" applyBorder="1" applyAlignment="1"/>
    <xf numFmtId="0" fontId="3" fillId="0" borderId="1" xfId="0" applyFont="1" applyBorder="1" applyAlignment="1"/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 wrapText="1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vertical="top" wrapText="1"/>
    </xf>
    <xf numFmtId="0" fontId="3" fillId="0" borderId="7" xfId="0" applyFont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left"/>
    </xf>
    <xf numFmtId="0" fontId="3" fillId="3" borderId="12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 vertical="center"/>
    </xf>
    <xf numFmtId="0" fontId="3" fillId="3" borderId="13" xfId="0" applyFont="1" applyFill="1" applyBorder="1" applyAlignment="1"/>
    <xf numFmtId="0" fontId="3" fillId="3" borderId="15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left" wrapText="1"/>
    </xf>
    <xf numFmtId="1" fontId="3" fillId="3" borderId="7" xfId="0" applyNumberFormat="1" applyFont="1" applyFill="1" applyBorder="1" applyAlignment="1">
      <alignment horizontal="center"/>
    </xf>
    <xf numFmtId="14" fontId="3" fillId="3" borderId="7" xfId="0" applyNumberFormat="1" applyFont="1" applyFill="1" applyBorder="1" applyAlignment="1">
      <alignment horizontal="center"/>
    </xf>
    <xf numFmtId="0" fontId="3" fillId="3" borderId="7" xfId="0" applyFont="1" applyFill="1" applyBorder="1" applyAlignment="1">
      <alignment horizontal="left"/>
    </xf>
    <xf numFmtId="0" fontId="3" fillId="0" borderId="13" xfId="0" applyFont="1" applyBorder="1" applyAlignment="1">
      <alignment horizontal="center"/>
    </xf>
    <xf numFmtId="0" fontId="3" fillId="0" borderId="13" xfId="0" applyFont="1" applyBorder="1" applyAlignment="1">
      <alignment horizontal="left"/>
    </xf>
    <xf numFmtId="14" fontId="3" fillId="0" borderId="13" xfId="0" applyNumberFormat="1" applyFont="1" applyBorder="1" applyAlignment="1">
      <alignment horizontal="center"/>
    </xf>
    <xf numFmtId="0" fontId="3" fillId="0" borderId="13" xfId="0" applyFont="1" applyBorder="1" applyAlignment="1">
      <alignment horizontal="center" vertical="center"/>
    </xf>
    <xf numFmtId="1" fontId="3" fillId="0" borderId="13" xfId="0" applyNumberFormat="1" applyFont="1" applyBorder="1" applyAlignment="1">
      <alignment horizontal="left"/>
    </xf>
    <xf numFmtId="1" fontId="3" fillId="0" borderId="13" xfId="0" applyNumberFormat="1" applyFont="1" applyBorder="1" applyAlignment="1">
      <alignment horizontal="center"/>
    </xf>
    <xf numFmtId="14" fontId="3" fillId="0" borderId="13" xfId="0" applyNumberFormat="1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0" fontId="4" fillId="0" borderId="4" xfId="0" applyFont="1" applyBorder="1" applyAlignment="1">
      <alignment horizontal="left" vertical="top" wrapText="1" indent="1"/>
    </xf>
    <xf numFmtId="0" fontId="3" fillId="0" borderId="4" xfId="0" applyFont="1" applyBorder="1" applyAlignment="1">
      <alignment horizontal="left"/>
    </xf>
    <xf numFmtId="14" fontId="3" fillId="0" borderId="4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left"/>
    </xf>
    <xf numFmtId="1" fontId="3" fillId="0" borderId="4" xfId="0" applyNumberFormat="1" applyFont="1" applyBorder="1" applyAlignment="1">
      <alignment horizontal="center"/>
    </xf>
    <xf numFmtId="14" fontId="3" fillId="0" borderId="4" xfId="0" applyNumberFormat="1" applyFont="1" applyBorder="1" applyAlignment="1">
      <alignment horizontal="left"/>
    </xf>
    <xf numFmtId="0" fontId="3" fillId="0" borderId="5" xfId="0" applyFont="1" applyBorder="1" applyAlignment="1">
      <alignment horizontal="center"/>
    </xf>
    <xf numFmtId="49" fontId="3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5" xfId="0" applyFont="1" applyBorder="1" applyAlignment="1">
      <alignment horizontal="center" vertical="center"/>
    </xf>
    <xf numFmtId="3" fontId="3" fillId="5" borderId="4" xfId="0" applyNumberFormat="1" applyFont="1" applyFill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top" wrapText="1" indent="1"/>
    </xf>
    <xf numFmtId="14" fontId="8" fillId="7" borderId="1" xfId="0" applyNumberFormat="1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4" fillId="7" borderId="4" xfId="0" applyFont="1" applyFill="1" applyBorder="1" applyAlignment="1">
      <alignment horizontal="left" vertical="top" wrapText="1" indent="1"/>
    </xf>
    <xf numFmtId="0" fontId="4" fillId="0" borderId="7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3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0" fontId="4" fillId="0" borderId="5" xfId="0" applyFont="1" applyBorder="1" applyAlignment="1">
      <alignment horizontal="left" vertical="top" wrapText="1" indent="1"/>
    </xf>
    <xf numFmtId="1" fontId="3" fillId="0" borderId="5" xfId="0" applyNumberFormat="1" applyFont="1" applyBorder="1" applyAlignment="1">
      <alignment horizontal="center"/>
    </xf>
    <xf numFmtId="14" fontId="3" fillId="0" borderId="5" xfId="0" applyNumberFormat="1" applyFont="1" applyBorder="1" applyAlignment="1">
      <alignment horizontal="left"/>
    </xf>
    <xf numFmtId="0" fontId="3" fillId="3" borderId="1" xfId="0" applyFont="1" applyFill="1" applyBorder="1" applyAlignment="1">
      <alignment vertical="center" wrapText="1"/>
    </xf>
    <xf numFmtId="0" fontId="3" fillId="3" borderId="22" xfId="0" applyFont="1" applyFill="1" applyBorder="1" applyAlignment="1">
      <alignment horizontal="left"/>
    </xf>
    <xf numFmtId="0" fontId="3" fillId="3" borderId="23" xfId="0" applyFont="1" applyFill="1" applyBorder="1" applyAlignment="1">
      <alignment horizontal="center"/>
    </xf>
    <xf numFmtId="0" fontId="3" fillId="3" borderId="24" xfId="0" applyFont="1" applyFill="1" applyBorder="1" applyAlignment="1">
      <alignment horizontal="left"/>
    </xf>
    <xf numFmtId="0" fontId="3" fillId="3" borderId="25" xfId="0" applyFont="1" applyFill="1" applyBorder="1" applyAlignment="1">
      <alignment horizontal="center"/>
    </xf>
    <xf numFmtId="0" fontId="0" fillId="3" borderId="0" xfId="0" applyFill="1" applyBorder="1" applyAlignment="1">
      <alignment horizontal="left"/>
    </xf>
    <xf numFmtId="0" fontId="3" fillId="3" borderId="26" xfId="0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3" fillId="3" borderId="24" xfId="0" applyFont="1" applyFill="1" applyBorder="1" applyAlignment="1">
      <alignment horizontal="center"/>
    </xf>
    <xf numFmtId="0" fontId="3" fillId="3" borderId="22" xfId="0" applyFont="1" applyFill="1" applyBorder="1" applyAlignment="1">
      <alignment horizontal="center"/>
    </xf>
    <xf numFmtId="1" fontId="3" fillId="0" borderId="1" xfId="0" applyNumberFormat="1" applyFont="1" applyBorder="1" applyAlignment="1">
      <alignment horizontal="left" vertical="center"/>
    </xf>
    <xf numFmtId="1" fontId="3" fillId="0" borderId="5" xfId="0" applyNumberFormat="1" applyFont="1" applyBorder="1" applyAlignment="1">
      <alignment horizontal="left" vertical="center"/>
    </xf>
    <xf numFmtId="1" fontId="3" fillId="0" borderId="4" xfId="0" applyNumberFormat="1" applyFont="1" applyBorder="1" applyAlignment="1">
      <alignment horizontal="left" vertical="center"/>
    </xf>
    <xf numFmtId="0" fontId="3" fillId="3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center"/>
    </xf>
    <xf numFmtId="0" fontId="3" fillId="5" borderId="1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left" wrapText="1"/>
    </xf>
    <xf numFmtId="49" fontId="3" fillId="0" borderId="1" xfId="0" applyNumberFormat="1" applyFont="1" applyBorder="1" applyAlignment="1">
      <alignment horizontal="left"/>
    </xf>
    <xf numFmtId="49" fontId="3" fillId="3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/>
    </xf>
    <xf numFmtId="14" fontId="3" fillId="3" borderId="4" xfId="0" applyNumberFormat="1" applyFont="1" applyFill="1" applyBorder="1" applyAlignment="1">
      <alignment horizontal="center" vertical="center"/>
    </xf>
    <xf numFmtId="49" fontId="3" fillId="0" borderId="13" xfId="0" applyNumberFormat="1" applyFont="1" applyBorder="1" applyAlignment="1">
      <alignment horizontal="left"/>
    </xf>
    <xf numFmtId="49" fontId="3" fillId="3" borderId="5" xfId="0" applyNumberFormat="1" applyFont="1" applyFill="1" applyBorder="1" applyAlignment="1">
      <alignment horizontal="left" wrapText="1"/>
    </xf>
    <xf numFmtId="49" fontId="3" fillId="0" borderId="4" xfId="0" applyNumberFormat="1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left" vertical="top" wrapText="1" indent="1"/>
    </xf>
    <xf numFmtId="0" fontId="3" fillId="3" borderId="10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7" fillId="0" borderId="1" xfId="0" applyFont="1" applyBorder="1" applyAlignment="1">
      <alignment horizontal="left" wrapText="1"/>
    </xf>
    <xf numFmtId="0" fontId="11" fillId="0" borderId="27" xfId="0" applyFont="1" applyBorder="1" applyAlignment="1">
      <alignment horizontal="left" vertical="top" wrapText="1" indent="1"/>
    </xf>
    <xf numFmtId="0" fontId="11" fillId="0" borderId="32" xfId="0" applyFont="1" applyBorder="1" applyAlignment="1">
      <alignment horizontal="left" vertical="top" wrapText="1" indent="1"/>
    </xf>
    <xf numFmtId="0" fontId="10" fillId="0" borderId="29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/>
    </xf>
    <xf numFmtId="0" fontId="11" fillId="0" borderId="32" xfId="0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3" fontId="10" fillId="0" borderId="12" xfId="0" applyNumberFormat="1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3" fontId="10" fillId="0" borderId="38" xfId="0" applyNumberFormat="1" applyFont="1" applyBorder="1" applyAlignment="1">
      <alignment horizontal="center" vertical="center"/>
    </xf>
    <xf numFmtId="0" fontId="3" fillId="0" borderId="0" xfId="0" applyFont="1"/>
    <xf numFmtId="3" fontId="10" fillId="0" borderId="13" xfId="0" applyNumberFormat="1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0" fillId="0" borderId="0" xfId="0" applyBorder="1"/>
    <xf numFmtId="0" fontId="10" fillId="0" borderId="39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wrapText="1"/>
    </xf>
    <xf numFmtId="0" fontId="15" fillId="0" borderId="1" xfId="0" applyFont="1" applyFill="1" applyBorder="1" applyAlignment="1">
      <alignment vertical="center" wrapText="1"/>
    </xf>
    <xf numFmtId="0" fontId="3" fillId="9" borderId="7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9" borderId="13" xfId="0" applyFont="1" applyFill="1" applyBorder="1" applyAlignment="1">
      <alignment horizontal="center"/>
    </xf>
    <xf numFmtId="0" fontId="3" fillId="9" borderId="5" xfId="0" applyFont="1" applyFill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" fontId="3" fillId="0" borderId="7" xfId="0" applyNumberFormat="1" applyFont="1" applyBorder="1" applyAlignment="1">
      <alignment horizontal="left" vertical="center"/>
    </xf>
    <xf numFmtId="1" fontId="3" fillId="0" borderId="13" xfId="0" applyNumberFormat="1" applyFont="1" applyBorder="1" applyAlignment="1">
      <alignment horizontal="left" vertical="center"/>
    </xf>
    <xf numFmtId="1" fontId="3" fillId="3" borderId="1" xfId="0" applyNumberFormat="1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center" wrapText="1"/>
    </xf>
    <xf numFmtId="14" fontId="6" fillId="2" borderId="3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49" fontId="3" fillId="3" borderId="1" xfId="0" applyNumberFormat="1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49" fontId="3" fillId="3" borderId="5" xfId="0" applyNumberFormat="1" applyFont="1" applyFill="1" applyBorder="1" applyAlignment="1">
      <alignment horizontal="center" vertical="center" wrapText="1"/>
    </xf>
    <xf numFmtId="14" fontId="3" fillId="3" borderId="5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  <xf numFmtId="0" fontId="3" fillId="3" borderId="2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14" fontId="7" fillId="0" borderId="1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3" borderId="7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3" borderId="7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13" xfId="0" applyFont="1" applyFill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3" borderId="4" xfId="0" applyFont="1" applyFill="1" applyBorder="1" applyAlignment="1">
      <alignment vertical="top" wrapText="1"/>
    </xf>
    <xf numFmtId="0" fontId="4" fillId="3" borderId="1" xfId="0" applyFont="1" applyFill="1" applyBorder="1" applyAlignment="1">
      <alignment horizontal="left" vertical="top" wrapText="1" indent="1"/>
    </xf>
    <xf numFmtId="0" fontId="4" fillId="3" borderId="4" xfId="0" applyFont="1" applyFill="1" applyBorder="1" applyAlignment="1">
      <alignment horizontal="left" vertical="top" wrapText="1" indent="1"/>
    </xf>
    <xf numFmtId="0" fontId="7" fillId="3" borderId="0" xfId="0" applyFont="1" applyFill="1"/>
    <xf numFmtId="0" fontId="7" fillId="3" borderId="7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/>
    <xf numFmtId="0" fontId="7" fillId="3" borderId="13" xfId="0" applyFont="1" applyFill="1" applyBorder="1" applyAlignment="1">
      <alignment horizontal="center" vertical="center"/>
    </xf>
    <xf numFmtId="0" fontId="7" fillId="3" borderId="13" xfId="0" applyFont="1" applyFill="1" applyBorder="1" applyAlignment="1"/>
    <xf numFmtId="0" fontId="7" fillId="3" borderId="7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vertical="center" wrapText="1"/>
    </xf>
    <xf numFmtId="0" fontId="0" fillId="10" borderId="21" xfId="0" applyFill="1" applyBorder="1"/>
    <xf numFmtId="0" fontId="0" fillId="10" borderId="43" xfId="0" applyFill="1" applyBorder="1"/>
    <xf numFmtId="0" fontId="0" fillId="10" borderId="11" xfId="0" applyFill="1" applyBorder="1"/>
    <xf numFmtId="0" fontId="0" fillId="10" borderId="45" xfId="0" applyFill="1" applyBorder="1"/>
    <xf numFmtId="0" fontId="22" fillId="0" borderId="1" xfId="0" applyFont="1" applyBorder="1" applyAlignment="1">
      <alignment horizontal="center" vertical="center" wrapText="1"/>
    </xf>
    <xf numFmtId="14" fontId="3" fillId="3" borderId="5" xfId="0" applyNumberFormat="1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wrapText="1"/>
    </xf>
    <xf numFmtId="0" fontId="0" fillId="10" borderId="21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0" borderId="43" xfId="0" applyFill="1" applyBorder="1" applyAlignment="1">
      <alignment horizontal="center" vertical="center"/>
    </xf>
    <xf numFmtId="0" fontId="0" fillId="10" borderId="45" xfId="0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14" fillId="0" borderId="19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center" vertical="center"/>
    </xf>
    <xf numFmtId="0" fontId="14" fillId="0" borderId="16" xfId="0" applyFont="1" applyFill="1" applyBorder="1" applyAlignment="1">
      <alignment horizontal="center" vertical="center"/>
    </xf>
    <xf numFmtId="0" fontId="14" fillId="0" borderId="41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0" fontId="14" fillId="0" borderId="46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4" fillId="0" borderId="46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41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46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0" fillId="0" borderId="46" xfId="0" applyFont="1" applyFill="1" applyBorder="1" applyAlignment="1">
      <alignment horizontal="center" vertical="center"/>
    </xf>
    <xf numFmtId="0" fontId="14" fillId="3" borderId="41" xfId="0" applyFont="1" applyFill="1" applyBorder="1" applyAlignment="1">
      <alignment horizontal="center" vertical="center"/>
    </xf>
    <xf numFmtId="0" fontId="12" fillId="0" borderId="39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7" fillId="10" borderId="11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7" fillId="10" borderId="21" xfId="0" applyFont="1" applyFill="1" applyBorder="1" applyAlignment="1">
      <alignment horizontal="center" vertical="center" wrapText="1"/>
    </xf>
    <xf numFmtId="0" fontId="21" fillId="10" borderId="11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1" fillId="10" borderId="21" xfId="0" applyFont="1" applyFill="1" applyBorder="1" applyAlignment="1">
      <alignment horizontal="center" vertical="center" wrapText="1"/>
    </xf>
    <xf numFmtId="0" fontId="6" fillId="10" borderId="44" xfId="0" applyFont="1" applyFill="1" applyBorder="1" applyAlignment="1">
      <alignment horizontal="center" vertical="center" wrapText="1"/>
    </xf>
    <xf numFmtId="0" fontId="6" fillId="10" borderId="45" xfId="0" applyFont="1" applyFill="1" applyBorder="1" applyAlignment="1">
      <alignment horizontal="center" vertical="center" wrapText="1"/>
    </xf>
    <xf numFmtId="0" fontId="6" fillId="10" borderId="43" xfId="0" applyFont="1" applyFill="1" applyBorder="1" applyAlignment="1">
      <alignment horizontal="center" vertical="center" wrapText="1"/>
    </xf>
    <xf numFmtId="0" fontId="21" fillId="3" borderId="4" xfId="0" applyFont="1" applyFill="1" applyBorder="1" applyAlignment="1">
      <alignment horizontal="center" vertical="center" wrapText="1"/>
    </xf>
    <xf numFmtId="0" fontId="15" fillId="10" borderId="11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10" borderId="21" xfId="0" applyFont="1" applyFill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1" fontId="8" fillId="3" borderId="5" xfId="0" applyNumberFormat="1" applyFont="1" applyFill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7" fillId="0" borderId="1" xfId="0" applyFont="1" applyBorder="1" applyAlignment="1">
      <alignment horizontal="left" vertical="center" wrapText="1"/>
    </xf>
    <xf numFmtId="1" fontId="3" fillId="3" borderId="1" xfId="0" applyNumberFormat="1" applyFont="1" applyFill="1" applyBorder="1" applyAlignment="1">
      <alignment horizontal="left"/>
    </xf>
    <xf numFmtId="0" fontId="7" fillId="0" borderId="1" xfId="0" applyFont="1" applyBorder="1" applyAlignment="1"/>
    <xf numFmtId="0" fontId="7" fillId="0" borderId="1" xfId="0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3" fillId="0" borderId="1" xfId="0" applyFont="1" applyBorder="1"/>
    <xf numFmtId="0" fontId="10" fillId="0" borderId="1" xfId="0" applyFont="1" applyBorder="1" applyAlignment="1">
      <alignment horizontal="center" vertical="center" wrapText="1"/>
    </xf>
    <xf numFmtId="0" fontId="29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1" fontId="3" fillId="0" borderId="7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16" fontId="3" fillId="0" borderId="0" xfId="0" applyNumberFormat="1" applyFont="1" applyAlignment="1">
      <alignment horizont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4" fillId="3" borderId="47" xfId="0" applyFont="1" applyFill="1" applyBorder="1" applyAlignment="1">
      <alignment vertical="top" wrapText="1"/>
    </xf>
    <xf numFmtId="0" fontId="4" fillId="3" borderId="48" xfId="0" applyFont="1" applyFill="1" applyBorder="1" applyAlignment="1">
      <alignment vertical="top" wrapText="1"/>
    </xf>
    <xf numFmtId="0" fontId="4" fillId="3" borderId="30" xfId="0" applyFont="1" applyFill="1" applyBorder="1" applyAlignment="1">
      <alignment vertical="top" wrapText="1"/>
    </xf>
    <xf numFmtId="0" fontId="4" fillId="3" borderId="49" xfId="0" applyFont="1" applyFill="1" applyBorder="1" applyAlignment="1">
      <alignment vertical="top" wrapText="1"/>
    </xf>
    <xf numFmtId="0" fontId="7" fillId="3" borderId="30" xfId="0" applyFont="1" applyFill="1" applyBorder="1" applyAlignment="1"/>
    <xf numFmtId="0" fontId="4" fillId="3" borderId="47" xfId="0" applyFont="1" applyFill="1" applyBorder="1" applyAlignment="1">
      <alignment vertical="center" wrapText="1"/>
    </xf>
    <xf numFmtId="0" fontId="4" fillId="3" borderId="30" xfId="0" applyFont="1" applyFill="1" applyBorder="1" applyAlignment="1">
      <alignment vertical="center" wrapText="1"/>
    </xf>
    <xf numFmtId="0" fontId="4" fillId="3" borderId="50" xfId="0" applyFont="1" applyFill="1" applyBorder="1" applyAlignment="1">
      <alignment vertical="top" wrapText="1"/>
    </xf>
    <xf numFmtId="0" fontId="4" fillId="3" borderId="30" xfId="0" applyFont="1" applyFill="1" applyBorder="1" applyAlignment="1">
      <alignment horizontal="left" vertical="top" wrapText="1" indent="1"/>
    </xf>
    <xf numFmtId="0" fontId="4" fillId="3" borderId="30" xfId="0" applyFont="1" applyFill="1" applyBorder="1" applyAlignment="1">
      <alignment horizontal="left" vertical="center" wrapText="1"/>
    </xf>
    <xf numFmtId="0" fontId="4" fillId="3" borderId="49" xfId="0" applyFont="1" applyFill="1" applyBorder="1" applyAlignment="1">
      <alignment horizontal="left" vertical="top" wrapText="1" indent="1"/>
    </xf>
    <xf numFmtId="0" fontId="7" fillId="3" borderId="30" xfId="0" applyFont="1" applyFill="1" applyBorder="1" applyAlignment="1">
      <alignment vertical="center" wrapText="1"/>
    </xf>
    <xf numFmtId="0" fontId="13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47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/>
    </xf>
    <xf numFmtId="0" fontId="31" fillId="0" borderId="9" xfId="0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14" fontId="8" fillId="0" borderId="4" xfId="0" applyNumberFormat="1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3" fillId="0" borderId="6" xfId="0" applyFont="1" applyBorder="1" applyAlignment="1">
      <alignment horizontal="center" vertical="center"/>
    </xf>
    <xf numFmtId="16" fontId="3" fillId="0" borderId="43" xfId="0" applyNumberFormat="1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16" fontId="3" fillId="0" borderId="43" xfId="0" applyNumberFormat="1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31" fillId="0" borderId="47" xfId="0" applyFont="1" applyBorder="1" applyAlignment="1">
      <alignment horizontal="center" vertical="center"/>
    </xf>
    <xf numFmtId="0" fontId="31" fillId="0" borderId="30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3" borderId="49" xfId="0" applyFont="1" applyFill="1" applyBorder="1" applyAlignment="1"/>
    <xf numFmtId="0" fontId="7" fillId="3" borderId="6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vertical="top" wrapText="1"/>
    </xf>
    <xf numFmtId="0" fontId="7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vertical="top" wrapText="1"/>
    </xf>
    <xf numFmtId="0" fontId="7" fillId="3" borderId="12" xfId="0" applyFont="1" applyFill="1" applyBorder="1" applyAlignment="1">
      <alignment horizontal="center" vertical="center"/>
    </xf>
    <xf numFmtId="0" fontId="7" fillId="3" borderId="14" xfId="0" applyFont="1" applyFill="1" applyBorder="1" applyAlignment="1"/>
    <xf numFmtId="0" fontId="3" fillId="0" borderId="25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3" fillId="3" borderId="1" xfId="0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top" wrapText="1"/>
    </xf>
    <xf numFmtId="1" fontId="3" fillId="0" borderId="5" xfId="0" applyNumberFormat="1" applyFont="1" applyBorder="1" applyAlignment="1">
      <alignment horizontal="left"/>
    </xf>
    <xf numFmtId="14" fontId="3" fillId="0" borderId="5" xfId="0" applyNumberFormat="1" applyFont="1" applyBorder="1" applyAlignment="1">
      <alignment horizontal="center"/>
    </xf>
    <xf numFmtId="1" fontId="3" fillId="0" borderId="5" xfId="0" applyNumberFormat="1" applyFont="1" applyBorder="1" applyAlignment="1">
      <alignment horizontal="center" vertical="center"/>
    </xf>
    <xf numFmtId="0" fontId="3" fillId="3" borderId="48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49" fontId="3" fillId="0" borderId="7" xfId="0" applyNumberFormat="1" applyFont="1" applyBorder="1" applyAlignment="1">
      <alignment horizontal="center"/>
    </xf>
    <xf numFmtId="14" fontId="8" fillId="0" borderId="7" xfId="0" applyNumberFormat="1" applyFont="1" applyBorder="1" applyAlignment="1">
      <alignment horizontal="center"/>
    </xf>
    <xf numFmtId="49" fontId="3" fillId="3" borderId="7" xfId="0" applyNumberFormat="1" applyFont="1" applyFill="1" applyBorder="1" applyAlignment="1">
      <alignment horizontal="left" wrapText="1"/>
    </xf>
    <xf numFmtId="0" fontId="3" fillId="3" borderId="8" xfId="0" applyFont="1" applyFill="1" applyBorder="1" applyAlignment="1">
      <alignment horizontal="left"/>
    </xf>
    <xf numFmtId="0" fontId="3" fillId="3" borderId="13" xfId="0" applyFont="1" applyFill="1" applyBorder="1" applyAlignment="1">
      <alignment vertical="center" wrapText="1"/>
    </xf>
    <xf numFmtId="14" fontId="3" fillId="3" borderId="13" xfId="0" applyNumberFormat="1" applyFont="1" applyFill="1" applyBorder="1" applyAlignment="1">
      <alignment horizontal="left"/>
    </xf>
    <xf numFmtId="0" fontId="3" fillId="3" borderId="13" xfId="0" applyFont="1" applyFill="1" applyBorder="1" applyAlignment="1">
      <alignment horizontal="left"/>
    </xf>
    <xf numFmtId="14" fontId="3" fillId="3" borderId="13" xfId="0" applyNumberFormat="1" applyFont="1" applyFill="1" applyBorder="1" applyAlignment="1">
      <alignment horizontal="center"/>
    </xf>
    <xf numFmtId="49" fontId="3" fillId="3" borderId="13" xfId="0" applyNumberFormat="1" applyFont="1" applyFill="1" applyBorder="1" applyAlignment="1">
      <alignment horizontal="left" wrapText="1"/>
    </xf>
    <xf numFmtId="0" fontId="3" fillId="3" borderId="13" xfId="0" applyFont="1" applyFill="1" applyBorder="1" applyAlignment="1">
      <alignment horizontal="left" wrapText="1"/>
    </xf>
    <xf numFmtId="0" fontId="3" fillId="2" borderId="13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 vertical="center"/>
    </xf>
    <xf numFmtId="1" fontId="3" fillId="3" borderId="13" xfId="0" applyNumberFormat="1" applyFont="1" applyFill="1" applyBorder="1" applyAlignment="1">
      <alignment horizontal="center"/>
    </xf>
    <xf numFmtId="0" fontId="3" fillId="3" borderId="14" xfId="0" applyFont="1" applyFill="1" applyBorder="1" applyAlignment="1">
      <alignment horizontal="left"/>
    </xf>
    <xf numFmtId="0" fontId="34" fillId="5" borderId="0" xfId="0" applyFont="1" applyFill="1" applyAlignment="1">
      <alignment horizontal="center" vertical="center" wrapText="1"/>
    </xf>
    <xf numFmtId="0" fontId="6" fillId="2" borderId="52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3" fillId="3" borderId="53" xfId="0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center"/>
    </xf>
    <xf numFmtId="14" fontId="7" fillId="0" borderId="1" xfId="0" applyNumberFormat="1" applyFont="1" applyBorder="1" applyAlignment="1">
      <alignment horizontal="center" vertical="center"/>
    </xf>
    <xf numFmtId="14" fontId="3" fillId="0" borderId="7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14" fontId="3" fillId="0" borderId="7" xfId="0" applyNumberFormat="1" applyFont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4" fontId="7" fillId="0" borderId="5" xfId="0" applyNumberFormat="1" applyFont="1" applyBorder="1" applyAlignment="1">
      <alignment horizontal="center" vertical="center"/>
    </xf>
    <xf numFmtId="0" fontId="6" fillId="2" borderId="55" xfId="0" applyFont="1" applyFill="1" applyBorder="1" applyAlignment="1">
      <alignment horizontal="center"/>
    </xf>
    <xf numFmtId="0" fontId="3" fillId="0" borderId="47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3" fillId="7" borderId="30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/>
    </xf>
    <xf numFmtId="0" fontId="4" fillId="0" borderId="1" xfId="0" applyFont="1" applyFill="1" applyBorder="1" applyAlignment="1">
      <alignment horizontal="left" vertical="top" wrapText="1" indent="1"/>
    </xf>
    <xf numFmtId="0" fontId="3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" fillId="3" borderId="21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 vertical="center"/>
    </xf>
    <xf numFmtId="1" fontId="3" fillId="3" borderId="0" xfId="0" applyNumberFormat="1" applyFont="1" applyFill="1" applyBorder="1" applyAlignment="1">
      <alignment horizontal="center"/>
    </xf>
    <xf numFmtId="0" fontId="3" fillId="3" borderId="0" xfId="0" applyFont="1" applyFill="1" applyBorder="1" applyAlignment="1">
      <alignment horizontal="left" wrapText="1"/>
    </xf>
    <xf numFmtId="0" fontId="3" fillId="3" borderId="0" xfId="0" applyFont="1" applyFill="1" applyBorder="1" applyAlignment="1">
      <alignment horizontal="left"/>
    </xf>
    <xf numFmtId="0" fontId="3" fillId="3" borderId="11" xfId="0" applyFont="1" applyFill="1" applyBorder="1" applyAlignment="1">
      <alignment horizontal="center"/>
    </xf>
    <xf numFmtId="0" fontId="9" fillId="8" borderId="16" xfId="0" applyFont="1" applyFill="1" applyBorder="1" applyAlignment="1">
      <alignment horizontal="center"/>
    </xf>
    <xf numFmtId="0" fontId="9" fillId="8" borderId="17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 vertical="center"/>
    </xf>
    <xf numFmtId="0" fontId="9" fillId="6" borderId="0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  <xf numFmtId="0" fontId="9" fillId="6" borderId="20" xfId="0" applyFont="1" applyFill="1" applyBorder="1" applyAlignment="1">
      <alignment horizontal="center" vertical="center"/>
    </xf>
    <xf numFmtId="0" fontId="9" fillId="6" borderId="16" xfId="0" applyFont="1" applyFill="1" applyBorder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3" fillId="8" borderId="31" xfId="0" applyFont="1" applyFill="1" applyBorder="1" applyAlignment="1">
      <alignment horizontal="center"/>
    </xf>
    <xf numFmtId="0" fontId="3" fillId="8" borderId="17" xfId="0" applyFont="1" applyFill="1" applyBorder="1" applyAlignment="1">
      <alignment horizontal="center"/>
    </xf>
    <xf numFmtId="0" fontId="3" fillId="8" borderId="18" xfId="0" applyFont="1" applyFill="1" applyBorder="1" applyAlignment="1">
      <alignment horizontal="center"/>
    </xf>
    <xf numFmtId="0" fontId="9" fillId="8" borderId="16" xfId="0" applyFont="1" applyFill="1" applyBorder="1" applyAlignment="1">
      <alignment horizontal="center" vertical="center"/>
    </xf>
    <xf numFmtId="0" fontId="9" fillId="8" borderId="17" xfId="0" applyFont="1" applyFill="1" applyBorder="1" applyAlignment="1">
      <alignment horizontal="center" vertical="center"/>
    </xf>
    <xf numFmtId="0" fontId="3" fillId="8" borderId="51" xfId="0" applyFont="1" applyFill="1" applyBorder="1" applyAlignment="1">
      <alignment horizontal="center"/>
    </xf>
    <xf numFmtId="0" fontId="9" fillId="8" borderId="54" xfId="0" applyFont="1" applyFill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" fontId="3" fillId="0" borderId="19" xfId="0" applyNumberFormat="1" applyFont="1" applyBorder="1" applyAlignment="1">
      <alignment horizontal="center"/>
    </xf>
    <xf numFmtId="16" fontId="3" fillId="0" borderId="19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9" fillId="8" borderId="1" xfId="0" applyFont="1" applyFill="1" applyBorder="1" applyAlignment="1">
      <alignment horizontal="center"/>
    </xf>
    <xf numFmtId="0" fontId="9" fillId="8" borderId="19" xfId="0" applyFont="1" applyFill="1" applyBorder="1" applyAlignment="1">
      <alignment horizontal="center"/>
    </xf>
    <xf numFmtId="0" fontId="9" fillId="8" borderId="20" xfId="0" applyFont="1" applyFill="1" applyBorder="1" applyAlignment="1">
      <alignment horizontal="center"/>
    </xf>
    <xf numFmtId="0" fontId="0" fillId="10" borderId="19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0" fontId="0" fillId="10" borderId="42" xfId="0" applyFill="1" applyBorder="1" applyAlignment="1">
      <alignment horizontal="center" vertical="center"/>
    </xf>
    <xf numFmtId="0" fontId="0" fillId="10" borderId="19" xfId="0" applyFill="1" applyBorder="1" applyAlignment="1">
      <alignment horizontal="center"/>
    </xf>
    <xf numFmtId="0" fontId="0" fillId="10" borderId="20" xfId="0" applyFill="1" applyBorder="1" applyAlignment="1">
      <alignment horizontal="center"/>
    </xf>
    <xf numFmtId="0" fontId="0" fillId="10" borderId="42" xfId="0" applyFill="1" applyBorder="1" applyAlignment="1">
      <alignment horizontal="center"/>
    </xf>
    <xf numFmtId="0" fontId="13" fillId="0" borderId="6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 vertical="top" wrapText="1"/>
    </xf>
    <xf numFmtId="0" fontId="28" fillId="2" borderId="0" xfId="0" applyFont="1" applyFill="1" applyAlignment="1">
      <alignment horizontal="center" vertical="center"/>
    </xf>
    <xf numFmtId="1" fontId="3" fillId="2" borderId="1" xfId="0" applyNumberFormat="1" applyFont="1" applyFill="1" applyBorder="1" applyAlignment="1">
      <alignment horizontal="left"/>
    </xf>
    <xf numFmtId="14" fontId="3" fillId="2" borderId="1" xfId="0" applyNumberFormat="1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left"/>
    </xf>
    <xf numFmtId="1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14" fontId="3" fillId="2" borderId="1" xfId="0" applyNumberFormat="1" applyFont="1" applyFill="1" applyBorder="1" applyAlignment="1">
      <alignment horizontal="left"/>
    </xf>
    <xf numFmtId="0" fontId="3" fillId="2" borderId="10" xfId="0" applyFont="1" applyFill="1" applyBorder="1" applyAlignment="1">
      <alignment horizontal="center"/>
    </xf>
    <xf numFmtId="0" fontId="4" fillId="2" borderId="1" xfId="0" applyFont="1" applyFill="1" applyBorder="1" applyAlignment="1">
      <alignment vertical="top" wrapText="1"/>
    </xf>
    <xf numFmtId="1" fontId="3" fillId="2" borderId="1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 wrapText="1"/>
    </xf>
    <xf numFmtId="1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14" fontId="3" fillId="2" borderId="1" xfId="0" applyNumberFormat="1" applyFont="1" applyFill="1" applyBorder="1" applyAlignment="1">
      <alignment horizontal="center" vertical="center"/>
    </xf>
    <xf numFmtId="0" fontId="9" fillId="8" borderId="44" xfId="0" applyFont="1" applyFill="1" applyBorder="1" applyAlignment="1">
      <alignment horizontal="center"/>
    </xf>
    <xf numFmtId="0" fontId="3" fillId="8" borderId="44" xfId="0" applyFont="1" applyFill="1" applyBorder="1" applyAlignment="1">
      <alignment horizontal="center"/>
    </xf>
  </cellXfs>
  <cellStyles count="3">
    <cellStyle name="Обычный" xfId="0" builtinId="0"/>
    <cellStyle name="Обычный 2" xfId="2" xr:uid="{834863CA-D103-4788-86E6-60103C854FC7}"/>
    <cellStyle name="Обычный 4" xfId="1" xr:uid="{00000000-0005-0000-0000-000001000000}"/>
  </cellStyles>
  <dxfs count="0"/>
  <tableStyles count="0" defaultTableStyle="TableStyleMedium2" defaultPivotStyle="PivotStyleLight16"/>
  <colors>
    <mruColors>
      <color rgb="FF6DD9FF"/>
      <color rgb="FFFF3300"/>
      <color rgb="FFEF8B47"/>
      <color rgb="FFFF99CC"/>
      <color rgb="FFFF0066"/>
      <color rgb="FFCCFF66"/>
      <color rgb="FFED7E33"/>
      <color rgb="FFFF5050"/>
      <color rgb="FFFF00FF"/>
      <color rgb="FFC709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Z90"/>
  <sheetViews>
    <sheetView tabSelected="1" topLeftCell="C1" zoomScale="70" zoomScaleNormal="70" workbookViewId="0">
      <pane ySplit="1" topLeftCell="A56" activePane="bottomLeft" state="frozen"/>
      <selection pane="bottomLeft" activeCell="J65" sqref="J65"/>
    </sheetView>
  </sheetViews>
  <sheetFormatPr defaultColWidth="9.109375" defaultRowHeight="14.4" x14ac:dyDescent="0.3"/>
  <cols>
    <col min="1" max="1" width="5.44140625" style="30" hidden="1" customWidth="1"/>
    <col min="2" max="2" width="4.44140625" style="33" hidden="1" customWidth="1"/>
    <col min="3" max="3" width="4.44140625" style="33" customWidth="1"/>
    <col min="4" max="4" width="17.88671875" style="30" customWidth="1"/>
    <col min="5" max="5" width="40.44140625" style="30" customWidth="1"/>
    <col min="6" max="6" width="28.109375" style="34" customWidth="1"/>
    <col min="7" max="7" width="13.5546875" style="30" customWidth="1"/>
    <col min="8" max="8" width="13.6640625" style="30" customWidth="1"/>
    <col min="9" max="9" width="32.77734375" style="34" customWidth="1"/>
    <col min="10" max="10" width="32.5546875" style="34" customWidth="1"/>
    <col min="11" max="11" width="17.77734375" style="34" customWidth="1"/>
    <col min="12" max="12" width="24.109375" style="30" customWidth="1"/>
    <col min="13" max="13" width="33.44140625" style="34" customWidth="1"/>
    <col min="14" max="14" width="24.5546875" style="35" customWidth="1"/>
    <col min="15" max="15" width="22.6640625" style="35" customWidth="1"/>
    <col min="16" max="16" width="11.21875" style="30" customWidth="1"/>
    <col min="17" max="17" width="9.33203125" style="30" customWidth="1"/>
    <col min="18" max="18" width="16.77734375" style="30" customWidth="1"/>
    <col min="19" max="19" width="25.5546875" style="30" customWidth="1"/>
    <col min="20" max="20" width="15" style="36" customWidth="1"/>
    <col min="21" max="21" width="13.6640625" style="30" customWidth="1"/>
    <col min="22" max="22" width="15.109375" style="34" customWidth="1"/>
    <col min="23" max="23" width="19.6640625" style="34" customWidth="1"/>
    <col min="24" max="24" width="18.5546875" style="37" customWidth="1"/>
    <col min="25" max="25" width="41.44140625" style="38" customWidth="1"/>
    <col min="26" max="30" width="9.109375" style="2" customWidth="1"/>
    <col min="31" max="1976" width="9.109375" style="2"/>
    <col min="1977" max="16384" width="9.109375" style="1"/>
  </cols>
  <sheetData>
    <row r="1" spans="1:25" ht="28.8" customHeight="1" thickBot="1" x14ac:dyDescent="0.35">
      <c r="A1" s="115" t="s">
        <v>383</v>
      </c>
      <c r="B1" s="7" t="s">
        <v>6</v>
      </c>
      <c r="C1" s="402"/>
      <c r="D1" s="8" t="s">
        <v>0</v>
      </c>
      <c r="E1" s="8" t="s">
        <v>1</v>
      </c>
      <c r="F1" s="8" t="s">
        <v>135</v>
      </c>
      <c r="G1" s="8" t="s">
        <v>2</v>
      </c>
      <c r="H1" s="8" t="s">
        <v>99</v>
      </c>
      <c r="I1" s="8" t="s">
        <v>109</v>
      </c>
      <c r="J1" s="9" t="s">
        <v>13</v>
      </c>
      <c r="K1" s="8" t="s">
        <v>3</v>
      </c>
      <c r="L1" s="8" t="s">
        <v>4</v>
      </c>
      <c r="M1" s="8" t="s">
        <v>7</v>
      </c>
      <c r="N1" s="10" t="s">
        <v>614</v>
      </c>
      <c r="O1" s="8" t="s">
        <v>5</v>
      </c>
      <c r="P1" s="8" t="s">
        <v>411</v>
      </c>
      <c r="Q1" s="8" t="s">
        <v>616</v>
      </c>
      <c r="R1" s="8" t="s">
        <v>412</v>
      </c>
      <c r="S1" s="204" t="s">
        <v>14</v>
      </c>
      <c r="T1" s="10" t="s">
        <v>9</v>
      </c>
      <c r="U1" s="204" t="s">
        <v>10</v>
      </c>
      <c r="V1" s="204" t="s">
        <v>545</v>
      </c>
      <c r="W1" s="204" t="s">
        <v>11</v>
      </c>
      <c r="X1" s="205" t="s">
        <v>8</v>
      </c>
      <c r="Y1" s="206" t="s">
        <v>12</v>
      </c>
    </row>
    <row r="2" spans="1:25" s="2" customFormat="1" ht="16.8" thickBot="1" x14ac:dyDescent="0.35">
      <c r="A2" s="438" t="s">
        <v>343</v>
      </c>
      <c r="B2" s="439"/>
      <c r="C2" s="439"/>
      <c r="D2" s="439"/>
      <c r="E2" s="439"/>
      <c r="F2" s="439"/>
      <c r="G2" s="442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443"/>
      <c r="X2" s="443"/>
      <c r="Y2" s="444"/>
    </row>
    <row r="3" spans="1:25" s="2" customFormat="1" x14ac:dyDescent="0.3">
      <c r="A3" s="54">
        <v>1</v>
      </c>
      <c r="B3" s="55">
        <v>1</v>
      </c>
      <c r="C3" s="55">
        <v>1</v>
      </c>
      <c r="D3" s="128" t="s">
        <v>691</v>
      </c>
      <c r="E3" s="56" t="s">
        <v>24</v>
      </c>
      <c r="F3" s="57" t="s">
        <v>25</v>
      </c>
      <c r="G3" s="56">
        <v>2023</v>
      </c>
      <c r="H3" s="56" t="s">
        <v>102</v>
      </c>
      <c r="I3" s="66" t="s">
        <v>692</v>
      </c>
      <c r="J3" s="201"/>
      <c r="K3" s="56" t="s">
        <v>725</v>
      </c>
      <c r="L3" s="407">
        <v>46529</v>
      </c>
      <c r="M3" s="56" t="s">
        <v>95</v>
      </c>
      <c r="N3" s="324">
        <v>142401042500994</v>
      </c>
      <c r="O3" s="325" t="s">
        <v>633</v>
      </c>
      <c r="P3" s="56"/>
      <c r="Q3" s="56"/>
      <c r="R3" s="56"/>
      <c r="S3" s="56"/>
      <c r="T3" s="324"/>
      <c r="U3" s="56"/>
      <c r="V3" s="408"/>
      <c r="W3" s="408"/>
      <c r="X3" s="409"/>
      <c r="Y3" s="410"/>
    </row>
    <row r="4" spans="1:25" s="2" customFormat="1" x14ac:dyDescent="0.3">
      <c r="A4" s="111"/>
      <c r="B4" s="51"/>
      <c r="C4" s="51">
        <f t="shared" ref="C4:C9" si="0">C3+1</f>
        <v>2</v>
      </c>
      <c r="D4" s="309" t="s">
        <v>689</v>
      </c>
      <c r="E4" s="89"/>
      <c r="F4" s="101" t="s">
        <v>690</v>
      </c>
      <c r="G4" s="86">
        <v>2022</v>
      </c>
      <c r="H4" s="86"/>
      <c r="I4" s="401" t="s">
        <v>688</v>
      </c>
      <c r="J4" s="382"/>
      <c r="K4" s="86"/>
      <c r="L4" s="383"/>
      <c r="M4" s="89" t="s">
        <v>95</v>
      </c>
      <c r="N4" s="384"/>
      <c r="O4" s="138"/>
      <c r="P4" s="86"/>
      <c r="Q4" s="86"/>
      <c r="R4" s="86"/>
      <c r="S4" s="86"/>
      <c r="T4" s="105"/>
      <c r="U4" s="86"/>
      <c r="V4" s="88"/>
      <c r="W4" s="88"/>
      <c r="X4" s="106"/>
      <c r="Y4" s="124"/>
    </row>
    <row r="5" spans="1:25" s="2" customFormat="1" x14ac:dyDescent="0.3">
      <c r="A5" s="59"/>
      <c r="B5" s="219"/>
      <c r="C5" s="51">
        <f t="shared" si="0"/>
        <v>3</v>
      </c>
      <c r="D5" s="29" t="s">
        <v>211</v>
      </c>
      <c r="E5" s="29" t="s">
        <v>670</v>
      </c>
      <c r="F5" s="221" t="s">
        <v>669</v>
      </c>
      <c r="G5" s="219">
        <v>2019</v>
      </c>
      <c r="H5" s="51" t="s">
        <v>102</v>
      </c>
      <c r="I5" s="12"/>
      <c r="J5" s="314" t="s">
        <v>667</v>
      </c>
      <c r="K5" s="219" t="s">
        <v>668</v>
      </c>
      <c r="L5" s="14">
        <v>46289</v>
      </c>
      <c r="M5" s="29" t="s">
        <v>618</v>
      </c>
      <c r="N5" s="314"/>
      <c r="O5" s="314"/>
      <c r="P5" s="219"/>
      <c r="Q5" s="219"/>
      <c r="R5" s="219"/>
      <c r="S5" s="219"/>
      <c r="T5" s="16"/>
      <c r="U5" s="219"/>
      <c r="V5" s="12"/>
      <c r="W5" s="12"/>
      <c r="X5" s="13"/>
      <c r="Y5" s="116"/>
    </row>
    <row r="6" spans="1:25" s="2" customFormat="1" x14ac:dyDescent="0.3">
      <c r="A6" s="59">
        <v>2</v>
      </c>
      <c r="B6" s="5">
        <v>2</v>
      </c>
      <c r="C6" s="51">
        <f t="shared" si="0"/>
        <v>4</v>
      </c>
      <c r="D6" s="29" t="s">
        <v>350</v>
      </c>
      <c r="E6" s="29" t="s">
        <v>29</v>
      </c>
      <c r="F6" s="221" t="s">
        <v>30</v>
      </c>
      <c r="G6" s="19">
        <v>2021</v>
      </c>
      <c r="H6" s="19" t="s">
        <v>102</v>
      </c>
      <c r="I6" s="27" t="s">
        <v>348</v>
      </c>
      <c r="J6" s="125" t="s">
        <v>123</v>
      </c>
      <c r="K6" s="19" t="s">
        <v>714</v>
      </c>
      <c r="L6" s="24">
        <v>46489</v>
      </c>
      <c r="M6" s="19" t="s">
        <v>95</v>
      </c>
      <c r="N6" s="136"/>
      <c r="O6" s="25"/>
      <c r="P6" s="3"/>
      <c r="Q6" s="3"/>
      <c r="R6" s="3" t="s">
        <v>413</v>
      </c>
      <c r="S6" s="3"/>
      <c r="T6" s="21"/>
      <c r="U6" s="3"/>
      <c r="V6" s="17"/>
      <c r="W6" s="17"/>
      <c r="X6" s="22"/>
      <c r="Y6" s="120"/>
    </row>
    <row r="7" spans="1:25" s="2" customFormat="1" x14ac:dyDescent="0.3">
      <c r="A7" s="59" t="e">
        <f>#REF!+1</f>
        <v>#REF!</v>
      </c>
      <c r="B7" s="5">
        <v>5</v>
      </c>
      <c r="C7" s="476">
        <f t="shared" si="0"/>
        <v>5</v>
      </c>
      <c r="D7" s="197" t="s">
        <v>212</v>
      </c>
      <c r="E7" s="197" t="s">
        <v>63</v>
      </c>
      <c r="F7" s="477" t="s">
        <v>344</v>
      </c>
      <c r="G7" s="11">
        <v>2019</v>
      </c>
      <c r="H7" s="11" t="s">
        <v>102</v>
      </c>
      <c r="I7" s="478" t="s">
        <v>612</v>
      </c>
      <c r="J7" s="479" t="s">
        <v>213</v>
      </c>
      <c r="K7" s="11" t="s">
        <v>655</v>
      </c>
      <c r="L7" s="480">
        <v>46280</v>
      </c>
      <c r="M7" s="197" t="s">
        <v>196</v>
      </c>
      <c r="N7" s="481"/>
      <c r="O7" s="479"/>
      <c r="P7" s="11"/>
      <c r="Q7" s="11"/>
      <c r="R7" s="11"/>
      <c r="S7" s="11"/>
      <c r="T7" s="482"/>
      <c r="U7" s="11"/>
      <c r="V7" s="483"/>
      <c r="W7" s="483"/>
      <c r="X7" s="484"/>
      <c r="Y7" s="485"/>
    </row>
    <row r="8" spans="1:25" s="2" customFormat="1" x14ac:dyDescent="0.3">
      <c r="A8" s="59" t="e">
        <f>#REF!+1</f>
        <v>#REF!</v>
      </c>
      <c r="B8" s="5">
        <v>7</v>
      </c>
      <c r="C8" s="51">
        <f t="shared" si="0"/>
        <v>6</v>
      </c>
      <c r="D8" s="29" t="s">
        <v>353</v>
      </c>
      <c r="E8" s="19" t="s">
        <v>133</v>
      </c>
      <c r="F8" s="45" t="s">
        <v>23</v>
      </c>
      <c r="G8" s="3">
        <v>2023</v>
      </c>
      <c r="H8" s="3" t="s">
        <v>102</v>
      </c>
      <c r="I8" s="102" t="s">
        <v>726</v>
      </c>
      <c r="J8" s="20" t="s">
        <v>134</v>
      </c>
      <c r="K8" s="3" t="s">
        <v>736</v>
      </c>
      <c r="L8" s="18">
        <v>46599</v>
      </c>
      <c r="M8" s="19" t="s">
        <v>95</v>
      </c>
      <c r="N8" s="134"/>
      <c r="O8" s="20"/>
      <c r="P8" s="3"/>
      <c r="Q8" s="3"/>
      <c r="R8" s="3"/>
      <c r="S8" s="3"/>
      <c r="T8" s="21"/>
      <c r="U8" s="3"/>
      <c r="V8" s="17"/>
      <c r="W8" s="17"/>
      <c r="X8" s="22"/>
      <c r="Y8" s="116"/>
    </row>
    <row r="9" spans="1:25" s="2" customFormat="1" ht="15" thickBot="1" x14ac:dyDescent="0.35">
      <c r="A9" s="59">
        <v>10</v>
      </c>
      <c r="B9" s="5">
        <v>10</v>
      </c>
      <c r="C9" s="51">
        <f t="shared" si="0"/>
        <v>7</v>
      </c>
      <c r="D9" s="29" t="s">
        <v>338</v>
      </c>
      <c r="E9" s="19" t="s">
        <v>337</v>
      </c>
      <c r="F9" s="315" t="s">
        <v>336</v>
      </c>
      <c r="G9" s="3"/>
      <c r="H9" s="3" t="s">
        <v>102</v>
      </c>
      <c r="I9" s="102" t="s">
        <v>339</v>
      </c>
      <c r="J9" s="15"/>
      <c r="K9" s="3" t="s">
        <v>672</v>
      </c>
      <c r="L9" s="218">
        <v>46305</v>
      </c>
      <c r="M9" s="29" t="s">
        <v>619</v>
      </c>
      <c r="N9" s="15"/>
      <c r="O9" s="15"/>
      <c r="P9" s="219" t="s">
        <v>413</v>
      </c>
      <c r="Q9" s="219"/>
      <c r="R9" s="5"/>
      <c r="S9" s="5"/>
      <c r="T9" s="16"/>
      <c r="U9" s="5"/>
      <c r="V9" s="15"/>
      <c r="W9" s="12"/>
      <c r="X9" s="12"/>
      <c r="Y9" s="116"/>
    </row>
    <row r="10" spans="1:25" s="2" customFormat="1" ht="16.8" thickBot="1" x14ac:dyDescent="0.35">
      <c r="A10" s="436" t="s">
        <v>354</v>
      </c>
      <c r="B10" s="437"/>
      <c r="C10" s="437"/>
      <c r="D10" s="437"/>
      <c r="E10" s="437"/>
      <c r="F10" s="437"/>
      <c r="G10" s="442"/>
      <c r="H10" s="443"/>
      <c r="I10" s="443"/>
      <c r="J10" s="443"/>
      <c r="K10" s="443"/>
      <c r="L10" s="443"/>
      <c r="M10" s="443"/>
      <c r="N10" s="443"/>
      <c r="O10" s="443"/>
      <c r="P10" s="443"/>
      <c r="Q10" s="443"/>
      <c r="R10" s="443"/>
      <c r="S10" s="443"/>
      <c r="T10" s="443"/>
      <c r="U10" s="443"/>
      <c r="V10" s="443"/>
      <c r="W10" s="443"/>
      <c r="X10" s="443"/>
      <c r="Y10" s="444"/>
    </row>
    <row r="11" spans="1:25" s="2" customFormat="1" x14ac:dyDescent="0.3">
      <c r="A11" s="54">
        <v>12</v>
      </c>
      <c r="B11" s="55">
        <v>1</v>
      </c>
      <c r="C11" s="55">
        <v>1</v>
      </c>
      <c r="D11" s="58" t="s">
        <v>189</v>
      </c>
      <c r="E11" s="56" t="s">
        <v>40</v>
      </c>
      <c r="F11" s="97" t="s">
        <v>188</v>
      </c>
      <c r="G11" s="56">
        <v>2016</v>
      </c>
      <c r="H11" s="56" t="s">
        <v>102</v>
      </c>
      <c r="I11" s="66" t="s">
        <v>190</v>
      </c>
      <c r="J11" s="201" t="s">
        <v>191</v>
      </c>
      <c r="K11" s="56" t="s">
        <v>720</v>
      </c>
      <c r="L11" s="130">
        <v>46521</v>
      </c>
      <c r="M11" s="56" t="s">
        <v>95</v>
      </c>
      <c r="N11" s="67"/>
      <c r="O11" s="67"/>
      <c r="P11" s="3" t="s">
        <v>413</v>
      </c>
      <c r="Q11" s="86"/>
      <c r="R11" s="55"/>
      <c r="S11" s="55"/>
      <c r="T11" s="68"/>
      <c r="U11" s="69">
        <v>45801</v>
      </c>
      <c r="V11" s="253" t="s">
        <v>544</v>
      </c>
      <c r="W11" s="70"/>
      <c r="X11" s="70"/>
      <c r="Y11" s="119"/>
    </row>
    <row r="12" spans="1:25" s="2" customFormat="1" ht="24" x14ac:dyDescent="0.3">
      <c r="A12" s="59">
        <f>A11+1</f>
        <v>13</v>
      </c>
      <c r="B12" s="5">
        <v>2</v>
      </c>
      <c r="C12" s="29">
        <f>C11+1</f>
        <v>2</v>
      </c>
      <c r="D12" s="19" t="s">
        <v>284</v>
      </c>
      <c r="E12" s="19" t="s">
        <v>42</v>
      </c>
      <c r="F12" s="45" t="s">
        <v>286</v>
      </c>
      <c r="G12" s="3">
        <v>2014</v>
      </c>
      <c r="H12" s="3" t="s">
        <v>102</v>
      </c>
      <c r="I12" s="27" t="s">
        <v>285</v>
      </c>
      <c r="J12" s="125" t="s">
        <v>287</v>
      </c>
      <c r="K12" s="19" t="s">
        <v>721</v>
      </c>
      <c r="L12" s="24">
        <v>46521</v>
      </c>
      <c r="M12" s="19" t="s">
        <v>95</v>
      </c>
      <c r="N12" s="15"/>
      <c r="O12" s="15"/>
      <c r="P12" s="29" t="s">
        <v>413</v>
      </c>
      <c r="Q12" s="29"/>
      <c r="R12" s="29" t="s">
        <v>414</v>
      </c>
      <c r="S12" s="29" t="s">
        <v>415</v>
      </c>
      <c r="T12" s="306" t="s">
        <v>415</v>
      </c>
      <c r="U12" s="219" t="s">
        <v>415</v>
      </c>
      <c r="V12" s="251"/>
      <c r="W12" s="12"/>
      <c r="X12" s="12"/>
      <c r="Y12" s="116"/>
    </row>
    <row r="13" spans="1:25" s="2" customFormat="1" x14ac:dyDescent="0.3">
      <c r="A13" s="59">
        <f t="shared" ref="A13:A22" si="1">A12+1</f>
        <v>14</v>
      </c>
      <c r="B13" s="5">
        <v>3</v>
      </c>
      <c r="C13" s="219">
        <f t="shared" ref="C13:C22" si="2">C12+1</f>
        <v>3</v>
      </c>
      <c r="D13" s="3" t="s">
        <v>183</v>
      </c>
      <c r="E13" s="19" t="s">
        <v>184</v>
      </c>
      <c r="F13" s="45" t="s">
        <v>620</v>
      </c>
      <c r="G13" s="3">
        <v>2014</v>
      </c>
      <c r="H13" s="3" t="s">
        <v>102</v>
      </c>
      <c r="I13" s="102" t="s">
        <v>390</v>
      </c>
      <c r="J13" s="125" t="s">
        <v>186</v>
      </c>
      <c r="K13" s="19" t="s">
        <v>722</v>
      </c>
      <c r="L13" s="18">
        <v>46535</v>
      </c>
      <c r="M13" s="19" t="s">
        <v>95</v>
      </c>
      <c r="N13" s="135" t="s">
        <v>639</v>
      </c>
      <c r="O13" s="137">
        <v>46119</v>
      </c>
      <c r="P13" s="29" t="s">
        <v>413</v>
      </c>
      <c r="Q13" s="29"/>
      <c r="R13" s="29"/>
      <c r="S13" s="29"/>
      <c r="T13" s="306"/>
      <c r="U13" s="14">
        <v>45812</v>
      </c>
      <c r="V13" s="251" t="s">
        <v>543</v>
      </c>
      <c r="W13" s="12"/>
      <c r="X13" s="12"/>
      <c r="Y13" s="116"/>
    </row>
    <row r="14" spans="1:25" s="2" customFormat="1" x14ac:dyDescent="0.3">
      <c r="A14" s="59">
        <f t="shared" si="1"/>
        <v>15</v>
      </c>
      <c r="B14" s="5">
        <v>4</v>
      </c>
      <c r="C14" s="219">
        <f t="shared" si="2"/>
        <v>4</v>
      </c>
      <c r="D14" s="412" t="s">
        <v>332</v>
      </c>
      <c r="E14" s="19" t="s">
        <v>43</v>
      </c>
      <c r="F14" s="45" t="s">
        <v>114</v>
      </c>
      <c r="G14" s="3">
        <v>2021</v>
      </c>
      <c r="H14" s="3" t="s">
        <v>115</v>
      </c>
      <c r="I14" s="411" t="s">
        <v>727</v>
      </c>
      <c r="J14" s="125" t="s">
        <v>116</v>
      </c>
      <c r="K14" s="19" t="s">
        <v>687</v>
      </c>
      <c r="L14" s="130">
        <v>46426</v>
      </c>
      <c r="M14" s="19" t="s">
        <v>95</v>
      </c>
      <c r="N14" s="207"/>
      <c r="O14" s="208"/>
      <c r="P14" s="29" t="s">
        <v>413</v>
      </c>
      <c r="Q14" s="29"/>
      <c r="R14" s="19" t="s">
        <v>413</v>
      </c>
      <c r="S14" s="29" t="s">
        <v>415</v>
      </c>
      <c r="T14" s="306" t="s">
        <v>415</v>
      </c>
      <c r="U14" s="219" t="s">
        <v>414</v>
      </c>
      <c r="V14" s="251"/>
      <c r="W14" s="12"/>
      <c r="X14" s="12"/>
      <c r="Y14" s="116"/>
    </row>
    <row r="15" spans="1:25" s="2" customFormat="1" ht="24" x14ac:dyDescent="0.3">
      <c r="A15" s="59">
        <f t="shared" si="1"/>
        <v>16</v>
      </c>
      <c r="B15" s="5">
        <v>5</v>
      </c>
      <c r="C15" s="29">
        <f t="shared" si="2"/>
        <v>5</v>
      </c>
      <c r="D15" s="29" t="s">
        <v>192</v>
      </c>
      <c r="E15" s="136" t="s">
        <v>193</v>
      </c>
      <c r="F15" s="45" t="s">
        <v>194</v>
      </c>
      <c r="G15" s="19">
        <v>2011</v>
      </c>
      <c r="H15" s="19" t="s">
        <v>102</v>
      </c>
      <c r="I15" s="27" t="s">
        <v>195</v>
      </c>
      <c r="J15" s="125" t="s">
        <v>197</v>
      </c>
      <c r="K15" s="19" t="s">
        <v>651</v>
      </c>
      <c r="L15" s="24">
        <v>46236</v>
      </c>
      <c r="M15" s="19" t="s">
        <v>196</v>
      </c>
      <c r="N15" s="133"/>
      <c r="O15" s="15"/>
      <c r="P15" s="29" t="s">
        <v>413</v>
      </c>
      <c r="Q15" s="29"/>
      <c r="R15" s="29" t="s">
        <v>414</v>
      </c>
      <c r="S15" s="29" t="s">
        <v>415</v>
      </c>
      <c r="T15" s="306" t="s">
        <v>415</v>
      </c>
      <c r="U15" s="14">
        <v>45819</v>
      </c>
      <c r="V15" s="251" t="s">
        <v>543</v>
      </c>
      <c r="W15" s="12"/>
      <c r="X15" s="12"/>
      <c r="Y15" s="116"/>
    </row>
    <row r="16" spans="1:25" s="2" customFormat="1" x14ac:dyDescent="0.3">
      <c r="A16" s="59">
        <f t="shared" si="1"/>
        <v>17</v>
      </c>
      <c r="B16" s="5">
        <v>6</v>
      </c>
      <c r="C16" s="219">
        <f t="shared" si="2"/>
        <v>6</v>
      </c>
      <c r="D16" s="5" t="s">
        <v>252</v>
      </c>
      <c r="E16" s="136" t="s">
        <v>253</v>
      </c>
      <c r="F16" s="45" t="s">
        <v>250</v>
      </c>
      <c r="G16" s="19">
        <v>2012</v>
      </c>
      <c r="H16" s="19" t="s">
        <v>102</v>
      </c>
      <c r="I16" s="27" t="s">
        <v>251</v>
      </c>
      <c r="J16" s="125" t="s">
        <v>254</v>
      </c>
      <c r="K16" s="19" t="s">
        <v>311</v>
      </c>
      <c r="L16" s="353">
        <v>46016</v>
      </c>
      <c r="M16" s="19" t="s">
        <v>95</v>
      </c>
      <c r="N16" s="133"/>
      <c r="O16" s="15"/>
      <c r="P16" s="29" t="s">
        <v>413</v>
      </c>
      <c r="Q16" s="29"/>
      <c r="R16" s="29" t="s">
        <v>414</v>
      </c>
      <c r="S16" s="29" t="s">
        <v>415</v>
      </c>
      <c r="T16" s="306" t="s">
        <v>415</v>
      </c>
      <c r="U16" s="219" t="s">
        <v>416</v>
      </c>
      <c r="V16" s="251"/>
      <c r="W16" s="12"/>
      <c r="X16" s="12"/>
      <c r="Y16" s="116" t="s">
        <v>546</v>
      </c>
    </row>
    <row r="17" spans="1:25" s="2" customFormat="1" ht="15.6" customHeight="1" x14ac:dyDescent="0.3">
      <c r="A17" s="59">
        <f t="shared" si="1"/>
        <v>18</v>
      </c>
      <c r="B17" s="5">
        <v>7</v>
      </c>
      <c r="C17" s="219">
        <f t="shared" si="2"/>
        <v>7</v>
      </c>
      <c r="D17" s="29" t="s">
        <v>180</v>
      </c>
      <c r="E17" s="29" t="s">
        <v>41</v>
      </c>
      <c r="F17" s="223" t="s">
        <v>181</v>
      </c>
      <c r="G17" s="29">
        <v>2016</v>
      </c>
      <c r="H17" s="19" t="s">
        <v>102</v>
      </c>
      <c r="I17" s="27" t="s">
        <v>495</v>
      </c>
      <c r="J17" s="125" t="s">
        <v>182</v>
      </c>
      <c r="K17" s="19" t="s">
        <v>701</v>
      </c>
      <c r="L17" s="24">
        <v>46472</v>
      </c>
      <c r="M17" s="19" t="s">
        <v>95</v>
      </c>
      <c r="N17" s="133"/>
      <c r="O17" s="15"/>
      <c r="P17" s="29" t="s">
        <v>413</v>
      </c>
      <c r="Q17" s="29"/>
      <c r="R17" s="29" t="s">
        <v>414</v>
      </c>
      <c r="S17" s="29" t="s">
        <v>415</v>
      </c>
      <c r="T17" s="306" t="s">
        <v>415</v>
      </c>
      <c r="U17" s="14">
        <v>46171</v>
      </c>
      <c r="V17" s="251" t="s">
        <v>544</v>
      </c>
      <c r="W17" s="12"/>
      <c r="X17" s="12"/>
      <c r="Y17" s="116"/>
    </row>
    <row r="18" spans="1:25" s="2" customFormat="1" x14ac:dyDescent="0.3">
      <c r="A18" s="59">
        <f t="shared" si="1"/>
        <v>19</v>
      </c>
      <c r="B18" s="5">
        <v>8</v>
      </c>
      <c r="C18" s="219">
        <f t="shared" si="2"/>
        <v>8</v>
      </c>
      <c r="D18" s="3" t="s">
        <v>230</v>
      </c>
      <c r="E18" s="19" t="s">
        <v>229</v>
      </c>
      <c r="F18" s="315" t="s">
        <v>226</v>
      </c>
      <c r="G18" s="3">
        <v>2018</v>
      </c>
      <c r="H18" s="3" t="s">
        <v>102</v>
      </c>
      <c r="I18" s="102" t="s">
        <v>227</v>
      </c>
      <c r="J18" s="125" t="s">
        <v>228</v>
      </c>
      <c r="K18" s="19" t="s">
        <v>711</v>
      </c>
      <c r="L18" s="130">
        <v>46489</v>
      </c>
      <c r="M18" s="19" t="s">
        <v>238</v>
      </c>
      <c r="N18" s="133"/>
      <c r="O18" s="15"/>
      <c r="P18" s="29" t="s">
        <v>413</v>
      </c>
      <c r="Q18" s="29"/>
      <c r="R18" s="29" t="s">
        <v>414</v>
      </c>
      <c r="S18" s="29" t="s">
        <v>415</v>
      </c>
      <c r="T18" s="306" t="s">
        <v>415</v>
      </c>
      <c r="U18" s="5" t="s">
        <v>414</v>
      </c>
      <c r="V18" s="251"/>
      <c r="W18" s="12"/>
      <c r="X18" s="12"/>
      <c r="Y18" s="116"/>
    </row>
    <row r="19" spans="1:25" s="2" customFormat="1" x14ac:dyDescent="0.3">
      <c r="A19" s="59">
        <f t="shared" si="1"/>
        <v>20</v>
      </c>
      <c r="B19" s="5">
        <v>9</v>
      </c>
      <c r="C19" s="11">
        <f t="shared" si="2"/>
        <v>9</v>
      </c>
      <c r="D19" s="11" t="s">
        <v>259</v>
      </c>
      <c r="E19" s="197" t="s">
        <v>19</v>
      </c>
      <c r="F19" s="486" t="s">
        <v>260</v>
      </c>
      <c r="G19" s="11">
        <v>2019</v>
      </c>
      <c r="H19" s="11" t="s">
        <v>102</v>
      </c>
      <c r="I19" s="11" t="s">
        <v>386</v>
      </c>
      <c r="J19" s="487" t="s">
        <v>261</v>
      </c>
      <c r="K19" s="197" t="s">
        <v>652</v>
      </c>
      <c r="L19" s="480">
        <v>46276</v>
      </c>
      <c r="M19" s="197" t="s">
        <v>95</v>
      </c>
      <c r="N19" s="488"/>
      <c r="O19" s="489"/>
      <c r="P19" s="197" t="s">
        <v>413</v>
      </c>
      <c r="Q19" s="197"/>
      <c r="R19" s="197" t="s">
        <v>414</v>
      </c>
      <c r="S19" s="197" t="s">
        <v>415</v>
      </c>
      <c r="T19" s="490" t="s">
        <v>415</v>
      </c>
      <c r="U19" s="11" t="s">
        <v>414</v>
      </c>
      <c r="V19" s="491"/>
      <c r="W19" s="483"/>
      <c r="X19" s="483"/>
      <c r="Y19" s="485"/>
    </row>
    <row r="20" spans="1:25" s="2" customFormat="1" ht="24" x14ac:dyDescent="0.3">
      <c r="A20" s="59">
        <f t="shared" si="1"/>
        <v>21</v>
      </c>
      <c r="B20" s="5">
        <v>10</v>
      </c>
      <c r="C20" s="197">
        <f t="shared" si="2"/>
        <v>10</v>
      </c>
      <c r="D20" s="197" t="s">
        <v>234</v>
      </c>
      <c r="E20" s="197" t="s">
        <v>15</v>
      </c>
      <c r="F20" s="486" t="s">
        <v>233</v>
      </c>
      <c r="G20" s="11">
        <v>2016</v>
      </c>
      <c r="H20" s="11" t="s">
        <v>102</v>
      </c>
      <c r="I20" s="197" t="s">
        <v>235</v>
      </c>
      <c r="J20" s="487" t="s">
        <v>236</v>
      </c>
      <c r="K20" s="197" t="s">
        <v>653</v>
      </c>
      <c r="L20" s="492">
        <v>46276</v>
      </c>
      <c r="M20" s="197" t="s">
        <v>95</v>
      </c>
      <c r="N20" s="488"/>
      <c r="O20" s="489"/>
      <c r="P20" s="197" t="s">
        <v>413</v>
      </c>
      <c r="Q20" s="197"/>
      <c r="R20" s="197" t="s">
        <v>414</v>
      </c>
      <c r="S20" s="197" t="s">
        <v>415</v>
      </c>
      <c r="T20" s="490" t="s">
        <v>415</v>
      </c>
      <c r="U20" s="11" t="s">
        <v>414</v>
      </c>
      <c r="V20" s="489"/>
      <c r="W20" s="483"/>
      <c r="X20" s="483"/>
      <c r="Y20" s="485"/>
    </row>
    <row r="21" spans="1:25" s="2" customFormat="1" ht="24" x14ac:dyDescent="0.3">
      <c r="A21" s="59">
        <f t="shared" si="1"/>
        <v>22</v>
      </c>
      <c r="B21" s="5">
        <v>11</v>
      </c>
      <c r="C21" s="29">
        <f t="shared" si="2"/>
        <v>11</v>
      </c>
      <c r="D21" s="19" t="s">
        <v>258</v>
      </c>
      <c r="E21" s="19" t="s">
        <v>16</v>
      </c>
      <c r="F21" s="45" t="s">
        <v>241</v>
      </c>
      <c r="G21" s="3">
        <v>2019</v>
      </c>
      <c r="H21" s="3" t="s">
        <v>102</v>
      </c>
      <c r="I21" s="27" t="s">
        <v>249</v>
      </c>
      <c r="J21" s="125" t="s">
        <v>242</v>
      </c>
      <c r="K21" s="19" t="s">
        <v>716</v>
      </c>
      <c r="L21" s="24">
        <v>46507</v>
      </c>
      <c r="M21" s="19" t="s">
        <v>95</v>
      </c>
      <c r="N21" s="134"/>
      <c r="O21" s="20"/>
      <c r="P21" s="29" t="s">
        <v>413</v>
      </c>
      <c r="Q21" s="29"/>
      <c r="R21" s="29" t="s">
        <v>414</v>
      </c>
      <c r="S21" s="29" t="s">
        <v>415</v>
      </c>
      <c r="T21" s="306" t="s">
        <v>415</v>
      </c>
      <c r="U21" s="5" t="s">
        <v>414</v>
      </c>
      <c r="V21" s="17"/>
      <c r="W21" s="17"/>
      <c r="X21" s="22"/>
      <c r="Y21" s="116" t="s">
        <v>248</v>
      </c>
    </row>
    <row r="22" spans="1:25" s="2" customFormat="1" ht="15" thickBot="1" x14ac:dyDescent="0.35">
      <c r="A22" s="61">
        <f t="shared" si="1"/>
        <v>23</v>
      </c>
      <c r="B22" s="62">
        <v>12</v>
      </c>
      <c r="C22" s="219">
        <f t="shared" si="2"/>
        <v>12</v>
      </c>
      <c r="D22" s="71" t="s">
        <v>272</v>
      </c>
      <c r="E22" s="74" t="s">
        <v>17</v>
      </c>
      <c r="F22" s="99" t="s">
        <v>18</v>
      </c>
      <c r="G22" s="71">
        <v>2019</v>
      </c>
      <c r="H22" s="71" t="s">
        <v>102</v>
      </c>
      <c r="I22" s="131" t="s">
        <v>262</v>
      </c>
      <c r="J22" s="202" t="s">
        <v>273</v>
      </c>
      <c r="K22" s="71" t="s">
        <v>715</v>
      </c>
      <c r="L22" s="73">
        <v>46507</v>
      </c>
      <c r="M22" s="74" t="s">
        <v>95</v>
      </c>
      <c r="N22" s="140"/>
      <c r="O22" s="75"/>
      <c r="P22" s="62" t="s">
        <v>413</v>
      </c>
      <c r="Q22" s="62"/>
      <c r="R22" s="71"/>
      <c r="S22" s="71"/>
      <c r="T22" s="76"/>
      <c r="U22" s="71"/>
      <c r="V22" s="72"/>
      <c r="W22" s="72"/>
      <c r="X22" s="77"/>
      <c r="Y22" s="122"/>
    </row>
    <row r="23" spans="1:25" s="2" customFormat="1" ht="16.8" thickBot="1" x14ac:dyDescent="0.35">
      <c r="A23" s="440" t="s">
        <v>355</v>
      </c>
      <c r="B23" s="441"/>
      <c r="C23" s="441"/>
      <c r="D23" s="441"/>
      <c r="E23" s="441"/>
      <c r="F23" s="441"/>
      <c r="G23" s="442"/>
      <c r="H23" s="443"/>
      <c r="I23" s="443"/>
      <c r="J23" s="443"/>
      <c r="K23" s="443"/>
      <c r="L23" s="443"/>
      <c r="M23" s="443"/>
      <c r="N23" s="443"/>
      <c r="O23" s="443"/>
      <c r="P23" s="443"/>
      <c r="Q23" s="443"/>
      <c r="R23" s="443"/>
      <c r="S23" s="443"/>
      <c r="T23" s="443"/>
      <c r="U23" s="443"/>
      <c r="V23" s="443"/>
      <c r="W23" s="443"/>
      <c r="X23" s="443"/>
      <c r="Y23" s="444"/>
    </row>
    <row r="24" spans="1:25" s="2" customFormat="1" x14ac:dyDescent="0.3">
      <c r="A24" s="111">
        <v>24</v>
      </c>
      <c r="B24" s="51">
        <v>1</v>
      </c>
      <c r="C24" s="51">
        <v>1</v>
      </c>
      <c r="D24" s="51" t="s">
        <v>360</v>
      </c>
      <c r="E24" s="86" t="s">
        <v>44</v>
      </c>
      <c r="F24" s="101" t="s">
        <v>45</v>
      </c>
      <c r="G24" s="3">
        <v>2021</v>
      </c>
      <c r="H24" s="3" t="s">
        <v>103</v>
      </c>
      <c r="I24" s="102" t="s">
        <v>728</v>
      </c>
      <c r="J24" s="20" t="s">
        <v>113</v>
      </c>
      <c r="K24" s="3" t="s">
        <v>686</v>
      </c>
      <c r="L24" s="18">
        <v>46429</v>
      </c>
      <c r="M24" s="19" t="s">
        <v>314</v>
      </c>
      <c r="N24" s="133"/>
      <c r="O24" s="15"/>
      <c r="P24" s="219" t="s">
        <v>413</v>
      </c>
      <c r="Q24" s="219"/>
      <c r="R24" s="5"/>
      <c r="S24" s="5"/>
      <c r="T24" s="16"/>
      <c r="U24" s="78" t="s">
        <v>415</v>
      </c>
      <c r="V24" s="15"/>
      <c r="W24" s="12"/>
      <c r="X24" s="12"/>
      <c r="Y24" s="116"/>
    </row>
    <row r="25" spans="1:25" s="2" customFormat="1" x14ac:dyDescent="0.3">
      <c r="A25" s="59">
        <v>25</v>
      </c>
      <c r="B25" s="5">
        <v>2</v>
      </c>
      <c r="C25" s="219">
        <v>2</v>
      </c>
      <c r="D25" s="219" t="s">
        <v>312</v>
      </c>
      <c r="E25" s="3" t="s">
        <v>21</v>
      </c>
      <c r="F25" s="45" t="s">
        <v>20</v>
      </c>
      <c r="G25" s="3">
        <v>2019</v>
      </c>
      <c r="H25" s="3" t="s">
        <v>103</v>
      </c>
      <c r="I25" s="102" t="s">
        <v>729</v>
      </c>
      <c r="J25" s="129" t="s">
        <v>117</v>
      </c>
      <c r="K25" s="3" t="s">
        <v>685</v>
      </c>
      <c r="L25" s="18">
        <v>46426</v>
      </c>
      <c r="M25" s="19" t="s">
        <v>313</v>
      </c>
      <c r="N25" s="134"/>
      <c r="O25" s="129"/>
      <c r="P25" s="219" t="s">
        <v>413</v>
      </c>
      <c r="Q25" s="219"/>
      <c r="R25" s="5" t="s">
        <v>414</v>
      </c>
      <c r="S25" s="5" t="s">
        <v>415</v>
      </c>
      <c r="T25" s="143" t="s">
        <v>417</v>
      </c>
      <c r="U25" s="78" t="s">
        <v>415</v>
      </c>
      <c r="V25" s="17"/>
      <c r="W25" s="17"/>
      <c r="X25" s="22"/>
      <c r="Y25" s="116"/>
    </row>
    <row r="26" spans="1:25" s="2" customFormat="1" ht="15" thickBot="1" x14ac:dyDescent="0.35">
      <c r="A26" s="109">
        <v>26</v>
      </c>
      <c r="B26" s="50">
        <v>3</v>
      </c>
      <c r="C26" s="50">
        <v>3</v>
      </c>
      <c r="D26" s="78" t="s">
        <v>646</v>
      </c>
      <c r="E26" s="78" t="s">
        <v>340</v>
      </c>
      <c r="F26" s="100" t="s">
        <v>217</v>
      </c>
      <c r="G26" s="78">
        <v>2018</v>
      </c>
      <c r="H26" s="78" t="s">
        <v>103</v>
      </c>
      <c r="I26" s="132" t="s">
        <v>649</v>
      </c>
      <c r="J26" s="83" t="s">
        <v>218</v>
      </c>
      <c r="K26" s="78" t="s">
        <v>671</v>
      </c>
      <c r="L26" s="81">
        <v>46308</v>
      </c>
      <c r="M26" s="19" t="s">
        <v>95</v>
      </c>
      <c r="N26" s="142" t="s">
        <v>647</v>
      </c>
      <c r="O26" s="142" t="s">
        <v>648</v>
      </c>
      <c r="P26" s="219" t="s">
        <v>413</v>
      </c>
      <c r="Q26" s="219"/>
      <c r="R26" s="5" t="s">
        <v>414</v>
      </c>
      <c r="S26" s="5" t="s">
        <v>415</v>
      </c>
      <c r="T26" s="143" t="s">
        <v>417</v>
      </c>
      <c r="U26" s="78" t="s">
        <v>415</v>
      </c>
      <c r="V26" s="80"/>
      <c r="W26" s="80"/>
      <c r="X26" s="85"/>
      <c r="Y26" s="123"/>
    </row>
    <row r="27" spans="1:25" s="2" customFormat="1" ht="16.8" thickBot="1" x14ac:dyDescent="0.35">
      <c r="A27" s="440" t="s">
        <v>356</v>
      </c>
      <c r="B27" s="441"/>
      <c r="C27" s="441"/>
      <c r="D27" s="441"/>
      <c r="E27" s="441"/>
      <c r="F27" s="441"/>
      <c r="G27" s="442"/>
      <c r="H27" s="443"/>
      <c r="I27" s="443"/>
      <c r="J27" s="443"/>
      <c r="K27" s="443"/>
      <c r="L27" s="443"/>
      <c r="M27" s="443"/>
      <c r="N27" s="443"/>
      <c r="O27" s="443"/>
      <c r="P27" s="443"/>
      <c r="Q27" s="443"/>
      <c r="R27" s="443"/>
      <c r="S27" s="443"/>
      <c r="T27" s="443"/>
      <c r="U27" s="443"/>
      <c r="V27" s="443"/>
      <c r="W27" s="443"/>
      <c r="X27" s="443"/>
      <c r="Y27" s="444"/>
    </row>
    <row r="28" spans="1:25" s="2" customFormat="1" ht="36" x14ac:dyDescent="0.3">
      <c r="A28" s="111">
        <v>27</v>
      </c>
      <c r="B28" s="51">
        <v>1</v>
      </c>
      <c r="C28" s="51">
        <v>1</v>
      </c>
      <c r="D28" s="89" t="s">
        <v>319</v>
      </c>
      <c r="E28" s="138" t="s">
        <v>79</v>
      </c>
      <c r="F28" s="101" t="s">
        <v>541</v>
      </c>
      <c r="G28" s="89">
        <v>2024</v>
      </c>
      <c r="H28" s="86" t="s">
        <v>100</v>
      </c>
      <c r="I28" s="117" t="s">
        <v>315</v>
      </c>
      <c r="J28" s="126" t="s">
        <v>402</v>
      </c>
      <c r="K28" s="89" t="s">
        <v>735</v>
      </c>
      <c r="L28" s="414">
        <v>46589</v>
      </c>
      <c r="M28" s="19" t="s">
        <v>95</v>
      </c>
      <c r="N28" s="141"/>
      <c r="O28" s="53"/>
      <c r="P28" s="309" t="s">
        <v>413</v>
      </c>
      <c r="Q28" s="29" t="s">
        <v>413</v>
      </c>
      <c r="R28" s="309" t="s">
        <v>414</v>
      </c>
      <c r="S28" s="309" t="s">
        <v>414</v>
      </c>
      <c r="T28" s="310" t="s">
        <v>414</v>
      </c>
      <c r="U28" s="248">
        <v>45881</v>
      </c>
      <c r="V28" s="252" t="s">
        <v>543</v>
      </c>
      <c r="W28" s="52"/>
      <c r="X28" s="52"/>
      <c r="Y28" s="108"/>
    </row>
    <row r="29" spans="1:25" s="2" customFormat="1" ht="24" x14ac:dyDescent="0.3">
      <c r="A29" s="59">
        <v>28</v>
      </c>
      <c r="B29" s="5">
        <v>2</v>
      </c>
      <c r="C29" s="219">
        <v>2</v>
      </c>
      <c r="D29" s="19" t="s">
        <v>275</v>
      </c>
      <c r="E29" s="19" t="s">
        <v>341</v>
      </c>
      <c r="F29" s="45" t="s">
        <v>276</v>
      </c>
      <c r="G29" s="19">
        <v>2021</v>
      </c>
      <c r="H29" s="3" t="s">
        <v>100</v>
      </c>
      <c r="I29" s="102" t="s">
        <v>299</v>
      </c>
      <c r="J29" s="125" t="s">
        <v>277</v>
      </c>
      <c r="K29" s="3" t="s">
        <v>723</v>
      </c>
      <c r="L29" s="18">
        <v>46526</v>
      </c>
      <c r="M29" s="19" t="s">
        <v>95</v>
      </c>
      <c r="N29" s="135" t="s">
        <v>404</v>
      </c>
      <c r="O29" s="137">
        <v>45968</v>
      </c>
      <c r="P29" s="29" t="s">
        <v>413</v>
      </c>
      <c r="Q29" s="29" t="s">
        <v>413</v>
      </c>
      <c r="R29" s="29" t="s">
        <v>414</v>
      </c>
      <c r="S29" s="29" t="s">
        <v>414</v>
      </c>
      <c r="T29" s="19" t="s">
        <v>413</v>
      </c>
      <c r="U29" s="249">
        <v>45994</v>
      </c>
      <c r="V29" s="252" t="s">
        <v>543</v>
      </c>
      <c r="W29" s="12"/>
      <c r="X29" s="12"/>
      <c r="Y29" s="60"/>
    </row>
    <row r="30" spans="1:25" s="2" customFormat="1" ht="24.6" thickBot="1" x14ac:dyDescent="0.35">
      <c r="A30" s="109">
        <v>29</v>
      </c>
      <c r="B30" s="50">
        <v>3</v>
      </c>
      <c r="C30" s="50">
        <v>3</v>
      </c>
      <c r="D30" s="82" t="s">
        <v>93</v>
      </c>
      <c r="E30" s="82" t="s">
        <v>31</v>
      </c>
      <c r="F30" s="100" t="s">
        <v>92</v>
      </c>
      <c r="G30" s="82">
        <v>2021</v>
      </c>
      <c r="H30" s="82" t="s">
        <v>100</v>
      </c>
      <c r="I30" s="90" t="s">
        <v>298</v>
      </c>
      <c r="J30" s="127" t="s">
        <v>96</v>
      </c>
      <c r="K30" s="82" t="s">
        <v>724</v>
      </c>
      <c r="L30" s="130">
        <v>46526</v>
      </c>
      <c r="M30" s="82" t="s">
        <v>95</v>
      </c>
      <c r="N30" s="142" t="s">
        <v>617</v>
      </c>
      <c r="O30" s="91">
        <v>46071</v>
      </c>
      <c r="P30" s="118" t="s">
        <v>413</v>
      </c>
      <c r="Q30" s="29" t="s">
        <v>413</v>
      </c>
      <c r="R30" s="82" t="s">
        <v>414</v>
      </c>
      <c r="S30" s="82"/>
      <c r="T30" s="311" t="s">
        <v>414</v>
      </c>
      <c r="U30" s="139">
        <v>45777</v>
      </c>
      <c r="V30" s="252" t="s">
        <v>543</v>
      </c>
      <c r="W30" s="80"/>
      <c r="X30" s="85"/>
      <c r="Y30" s="110" t="s">
        <v>94</v>
      </c>
    </row>
    <row r="31" spans="1:25" s="2" customFormat="1" ht="16.8" thickBot="1" x14ac:dyDescent="0.35">
      <c r="A31" s="440" t="s">
        <v>357</v>
      </c>
      <c r="B31" s="441"/>
      <c r="C31" s="441"/>
      <c r="D31" s="441"/>
      <c r="E31" s="441"/>
      <c r="F31" s="441"/>
      <c r="G31" s="442"/>
      <c r="H31" s="443"/>
      <c r="I31" s="443"/>
      <c r="J31" s="443"/>
      <c r="K31" s="443"/>
      <c r="L31" s="443"/>
      <c r="M31" s="443"/>
      <c r="N31" s="443"/>
      <c r="O31" s="443"/>
      <c r="P31" s="443"/>
      <c r="Q31" s="443"/>
      <c r="R31" s="443"/>
      <c r="S31" s="443"/>
      <c r="T31" s="443"/>
      <c r="U31" s="443"/>
      <c r="V31" s="443"/>
      <c r="W31" s="443"/>
      <c r="X31" s="443"/>
      <c r="Y31" s="444"/>
    </row>
    <row r="32" spans="1:25" s="2" customFormat="1" ht="24" x14ac:dyDescent="0.3">
      <c r="A32" s="111">
        <v>30</v>
      </c>
      <c r="B32" s="51">
        <v>1</v>
      </c>
      <c r="C32" s="51">
        <v>1</v>
      </c>
      <c r="D32" s="29" t="s">
        <v>225</v>
      </c>
      <c r="E32" s="29" t="s">
        <v>32</v>
      </c>
      <c r="F32" s="227" t="s">
        <v>33</v>
      </c>
      <c r="G32" s="29">
        <v>2020</v>
      </c>
      <c r="H32" s="29" t="s">
        <v>100</v>
      </c>
      <c r="I32" s="27" t="s">
        <v>389</v>
      </c>
      <c r="J32" s="203" t="s">
        <v>263</v>
      </c>
      <c r="K32" s="29" t="s">
        <v>743</v>
      </c>
      <c r="L32" s="249">
        <v>46634</v>
      </c>
      <c r="M32" s="19" t="s">
        <v>95</v>
      </c>
      <c r="N32" s="209" t="s">
        <v>405</v>
      </c>
      <c r="O32" s="210">
        <v>45987</v>
      </c>
      <c r="P32" s="219" t="s">
        <v>413</v>
      </c>
      <c r="Q32" s="29" t="s">
        <v>413</v>
      </c>
      <c r="R32" s="3" t="s">
        <v>414</v>
      </c>
      <c r="S32" s="3" t="s">
        <v>414</v>
      </c>
      <c r="T32" s="3" t="s">
        <v>413</v>
      </c>
      <c r="U32" s="14">
        <v>46002</v>
      </c>
      <c r="V32" s="250" t="s">
        <v>543</v>
      </c>
      <c r="W32" s="52"/>
      <c r="X32" s="52"/>
      <c r="Y32" s="124"/>
    </row>
    <row r="33" spans="1:25" s="2" customFormat="1" ht="22.2" customHeight="1" x14ac:dyDescent="0.3">
      <c r="A33" s="111"/>
      <c r="B33" s="51"/>
      <c r="C33" s="51">
        <f>C32+1</f>
        <v>2</v>
      </c>
      <c r="D33" s="19" t="s">
        <v>682</v>
      </c>
      <c r="E33" s="19" t="s">
        <v>49</v>
      </c>
      <c r="F33" s="4" t="s">
        <v>219</v>
      </c>
      <c r="G33" s="19">
        <v>2019</v>
      </c>
      <c r="H33" s="19" t="s">
        <v>104</v>
      </c>
      <c r="I33" s="27"/>
      <c r="J33" s="125" t="s">
        <v>683</v>
      </c>
      <c r="K33" s="19" t="s">
        <v>684</v>
      </c>
      <c r="L33" s="24">
        <v>46403</v>
      </c>
      <c r="M33" s="19" t="s">
        <v>95</v>
      </c>
      <c r="N33" s="209"/>
      <c r="O33" s="210"/>
      <c r="P33" s="219"/>
      <c r="Q33" s="29"/>
      <c r="R33" s="3"/>
      <c r="S33" s="3"/>
      <c r="T33" s="3"/>
      <c r="U33" s="14"/>
      <c r="V33" s="250"/>
      <c r="W33" s="52"/>
      <c r="X33" s="52"/>
      <c r="Y33" s="124"/>
    </row>
    <row r="34" spans="1:25" s="2" customFormat="1" ht="24" x14ac:dyDescent="0.3">
      <c r="A34" s="59">
        <f>A32+1</f>
        <v>31</v>
      </c>
      <c r="B34" s="5">
        <v>2</v>
      </c>
      <c r="C34" s="51">
        <f t="shared" ref="C34:C43" si="3">C33+1</f>
        <v>3</v>
      </c>
      <c r="D34" s="29" t="s">
        <v>214</v>
      </c>
      <c r="E34" s="29" t="s">
        <v>34</v>
      </c>
      <c r="F34" s="227" t="s">
        <v>33</v>
      </c>
      <c r="G34" s="29">
        <v>2020</v>
      </c>
      <c r="H34" s="29" t="s">
        <v>100</v>
      </c>
      <c r="I34" s="27" t="s">
        <v>388</v>
      </c>
      <c r="J34" s="203" t="s">
        <v>215</v>
      </c>
      <c r="K34" s="29" t="s">
        <v>742</v>
      </c>
      <c r="L34" s="249">
        <v>46634</v>
      </c>
      <c r="M34" s="19" t="s">
        <v>95</v>
      </c>
      <c r="N34" s="135" t="s">
        <v>408</v>
      </c>
      <c r="O34" s="137">
        <v>45868</v>
      </c>
      <c r="P34" s="219" t="s">
        <v>413</v>
      </c>
      <c r="Q34" s="29" t="s">
        <v>413</v>
      </c>
      <c r="R34" s="3" t="s">
        <v>414</v>
      </c>
      <c r="S34" s="3" t="s">
        <v>414</v>
      </c>
      <c r="T34" s="3" t="s">
        <v>413</v>
      </c>
      <c r="U34" s="14">
        <v>45883</v>
      </c>
      <c r="V34" s="251" t="s">
        <v>543</v>
      </c>
      <c r="W34" s="12"/>
      <c r="X34" s="12"/>
      <c r="Y34" s="116"/>
    </row>
    <row r="35" spans="1:25" s="2" customFormat="1" ht="24" x14ac:dyDescent="0.3">
      <c r="A35" s="59">
        <f t="shared" ref="A35:A41" si="4">A34+1</f>
        <v>32</v>
      </c>
      <c r="B35" s="51">
        <v>3</v>
      </c>
      <c r="C35" s="51">
        <f t="shared" si="3"/>
        <v>4</v>
      </c>
      <c r="D35" s="19" t="s">
        <v>131</v>
      </c>
      <c r="E35" s="318" t="s">
        <v>35</v>
      </c>
      <c r="F35" s="4" t="s">
        <v>36</v>
      </c>
      <c r="G35" s="19">
        <v>2020</v>
      </c>
      <c r="H35" s="19" t="s">
        <v>100</v>
      </c>
      <c r="I35" s="27" t="s">
        <v>387</v>
      </c>
      <c r="J35" s="125" t="s">
        <v>132</v>
      </c>
      <c r="K35" s="19" t="s">
        <v>706</v>
      </c>
      <c r="L35" s="406">
        <v>46478</v>
      </c>
      <c r="M35" s="19" t="s">
        <v>95</v>
      </c>
      <c r="N35" s="135"/>
      <c r="O35" s="137"/>
      <c r="P35" s="219" t="s">
        <v>413</v>
      </c>
      <c r="Q35" s="29" t="s">
        <v>413</v>
      </c>
      <c r="R35" s="3" t="s">
        <v>414</v>
      </c>
      <c r="S35" s="3" t="s">
        <v>414</v>
      </c>
      <c r="T35" s="3" t="s">
        <v>413</v>
      </c>
      <c r="U35" s="14">
        <v>45813</v>
      </c>
      <c r="V35" s="251" t="s">
        <v>543</v>
      </c>
      <c r="W35" s="12"/>
      <c r="X35" s="12"/>
      <c r="Y35" s="116"/>
    </row>
    <row r="36" spans="1:25" s="2" customFormat="1" ht="24" x14ac:dyDescent="0.3">
      <c r="A36" s="59">
        <f t="shared" si="4"/>
        <v>33</v>
      </c>
      <c r="B36" s="5">
        <v>4</v>
      </c>
      <c r="C36" s="51">
        <f t="shared" si="3"/>
        <v>5</v>
      </c>
      <c r="D36" s="29" t="s">
        <v>223</v>
      </c>
      <c r="E36" s="231" t="s">
        <v>37</v>
      </c>
      <c r="F36" s="227" t="s">
        <v>36</v>
      </c>
      <c r="G36" s="29">
        <v>2020</v>
      </c>
      <c r="H36" s="29" t="s">
        <v>100</v>
      </c>
      <c r="I36" s="27" t="s">
        <v>297</v>
      </c>
      <c r="J36" s="203" t="s">
        <v>288</v>
      </c>
      <c r="K36" s="29" t="s">
        <v>741</v>
      </c>
      <c r="L36" s="249">
        <v>46634</v>
      </c>
      <c r="M36" s="19" t="s">
        <v>95</v>
      </c>
      <c r="N36" s="135" t="s">
        <v>403</v>
      </c>
      <c r="O36" s="137">
        <v>45976</v>
      </c>
      <c r="P36" s="219" t="s">
        <v>413</v>
      </c>
      <c r="Q36" s="29" t="s">
        <v>413</v>
      </c>
      <c r="R36" s="3" t="s">
        <v>414</v>
      </c>
      <c r="S36" s="3" t="s">
        <v>414</v>
      </c>
      <c r="T36" s="3" t="s">
        <v>413</v>
      </c>
      <c r="U36" s="14">
        <v>46010</v>
      </c>
      <c r="V36" s="251"/>
      <c r="W36" s="12"/>
      <c r="X36" s="12"/>
      <c r="Y36" s="116"/>
    </row>
    <row r="37" spans="1:25" s="2" customFormat="1" ht="24" x14ac:dyDescent="0.3">
      <c r="A37" s="59">
        <f t="shared" si="4"/>
        <v>34</v>
      </c>
      <c r="B37" s="51">
        <v>5</v>
      </c>
      <c r="C37" s="51">
        <f t="shared" si="3"/>
        <v>6</v>
      </c>
      <c r="D37" s="425" t="s">
        <v>220</v>
      </c>
      <c r="E37" s="426" t="s">
        <v>323</v>
      </c>
      <c r="F37" s="424" t="s">
        <v>219</v>
      </c>
      <c r="G37" s="425">
        <v>2019</v>
      </c>
      <c r="H37" s="19" t="s">
        <v>100</v>
      </c>
      <c r="I37" s="27" t="s">
        <v>221</v>
      </c>
      <c r="J37" s="125" t="s">
        <v>222</v>
      </c>
      <c r="K37" s="19" t="s">
        <v>663</v>
      </c>
      <c r="L37" s="249">
        <v>46293</v>
      </c>
      <c r="M37" s="19" t="s">
        <v>95</v>
      </c>
      <c r="N37" s="135" t="s">
        <v>393</v>
      </c>
      <c r="O37" s="137">
        <v>45932</v>
      </c>
      <c r="P37" s="219" t="s">
        <v>413</v>
      </c>
      <c r="Q37" s="29" t="s">
        <v>413</v>
      </c>
      <c r="R37" s="3" t="s">
        <v>414</v>
      </c>
      <c r="S37" s="3" t="s">
        <v>414</v>
      </c>
      <c r="T37" s="3" t="s">
        <v>413</v>
      </c>
      <c r="U37" s="14">
        <v>45964</v>
      </c>
      <c r="V37" s="251" t="s">
        <v>543</v>
      </c>
      <c r="W37" s="12"/>
      <c r="X37" s="12"/>
      <c r="Y37" s="116"/>
    </row>
    <row r="38" spans="1:25" s="2" customFormat="1" ht="24" x14ac:dyDescent="0.3">
      <c r="A38" s="59">
        <f t="shared" si="4"/>
        <v>35</v>
      </c>
      <c r="B38" s="5">
        <v>6</v>
      </c>
      <c r="C38" s="51">
        <f t="shared" si="3"/>
        <v>7</v>
      </c>
      <c r="D38" s="412" t="s">
        <v>177</v>
      </c>
      <c r="E38" s="426" t="s">
        <v>176</v>
      </c>
      <c r="F38" s="424" t="s">
        <v>175</v>
      </c>
      <c r="G38" s="412">
        <v>2017</v>
      </c>
      <c r="H38" s="3" t="s">
        <v>100</v>
      </c>
      <c r="I38" s="27" t="s">
        <v>178</v>
      </c>
      <c r="J38" s="20" t="s">
        <v>179</v>
      </c>
      <c r="K38" s="3" t="s">
        <v>703</v>
      </c>
      <c r="L38" s="24">
        <v>46472</v>
      </c>
      <c r="M38" s="19" t="s">
        <v>149</v>
      </c>
      <c r="N38" s="136" t="s">
        <v>394</v>
      </c>
      <c r="O38" s="24" t="s">
        <v>395</v>
      </c>
      <c r="P38" s="219" t="s">
        <v>413</v>
      </c>
      <c r="Q38" s="29" t="s">
        <v>413</v>
      </c>
      <c r="R38" s="3" t="s">
        <v>414</v>
      </c>
      <c r="S38" s="3" t="s">
        <v>414</v>
      </c>
      <c r="T38" s="3" t="s">
        <v>413</v>
      </c>
      <c r="U38" s="14">
        <v>45822</v>
      </c>
      <c r="V38" s="3" t="s">
        <v>543</v>
      </c>
      <c r="W38" s="17"/>
      <c r="X38" s="22"/>
      <c r="Y38" s="116"/>
    </row>
    <row r="39" spans="1:25" s="2" customFormat="1" ht="24" x14ac:dyDescent="0.3">
      <c r="A39" s="59">
        <f t="shared" si="4"/>
        <v>36</v>
      </c>
      <c r="B39" s="51">
        <v>7</v>
      </c>
      <c r="C39" s="51">
        <f t="shared" si="3"/>
        <v>8</v>
      </c>
      <c r="D39" s="412" t="s">
        <v>146</v>
      </c>
      <c r="E39" s="426" t="s">
        <v>67</v>
      </c>
      <c r="F39" s="424" t="s">
        <v>68</v>
      </c>
      <c r="G39" s="412">
        <v>2017</v>
      </c>
      <c r="H39" s="3" t="s">
        <v>100</v>
      </c>
      <c r="I39" s="19" t="s">
        <v>147</v>
      </c>
      <c r="J39" s="20" t="s">
        <v>148</v>
      </c>
      <c r="K39" s="19"/>
      <c r="L39" s="19"/>
      <c r="M39" s="19" t="s">
        <v>149</v>
      </c>
      <c r="N39" s="136" t="s">
        <v>406</v>
      </c>
      <c r="O39" s="24" t="s">
        <v>407</v>
      </c>
      <c r="P39" s="219" t="s">
        <v>413</v>
      </c>
      <c r="Q39" s="29" t="s">
        <v>413</v>
      </c>
      <c r="R39" s="3" t="s">
        <v>414</v>
      </c>
      <c r="S39" s="3" t="s">
        <v>414</v>
      </c>
      <c r="T39" s="3" t="s">
        <v>413</v>
      </c>
      <c r="U39" s="14">
        <v>46018</v>
      </c>
      <c r="V39" s="3" t="s">
        <v>543</v>
      </c>
      <c r="W39" s="17"/>
      <c r="X39" s="22"/>
      <c r="Y39" s="116" t="s">
        <v>358</v>
      </c>
    </row>
    <row r="40" spans="1:25" s="2" customFormat="1" ht="24" x14ac:dyDescent="0.3">
      <c r="A40" s="59">
        <f t="shared" si="4"/>
        <v>37</v>
      </c>
      <c r="B40" s="5">
        <v>8</v>
      </c>
      <c r="C40" s="51">
        <f t="shared" si="3"/>
        <v>9</v>
      </c>
      <c r="D40" s="412" t="s">
        <v>201</v>
      </c>
      <c r="E40" s="426" t="s">
        <v>202</v>
      </c>
      <c r="F40" s="424" t="s">
        <v>175</v>
      </c>
      <c r="G40" s="412">
        <v>2017</v>
      </c>
      <c r="H40" s="3" t="s">
        <v>104</v>
      </c>
      <c r="I40" s="19" t="s">
        <v>274</v>
      </c>
      <c r="J40" s="20" t="s">
        <v>203</v>
      </c>
      <c r="K40" s="3" t="s">
        <v>704</v>
      </c>
      <c r="L40" s="24">
        <v>46472</v>
      </c>
      <c r="M40" s="19" t="s">
        <v>149</v>
      </c>
      <c r="N40" s="211"/>
      <c r="O40" s="212"/>
      <c r="P40" s="219" t="s">
        <v>413</v>
      </c>
      <c r="Q40" s="29" t="s">
        <v>413</v>
      </c>
      <c r="R40" s="3" t="s">
        <v>414</v>
      </c>
      <c r="S40" s="3" t="s">
        <v>414</v>
      </c>
      <c r="T40" s="3" t="s">
        <v>413</v>
      </c>
      <c r="U40" s="14">
        <v>45925</v>
      </c>
      <c r="V40" s="251" t="s">
        <v>543</v>
      </c>
      <c r="W40" s="12"/>
      <c r="X40" s="12"/>
      <c r="Y40" s="116"/>
    </row>
    <row r="41" spans="1:25" s="2" customFormat="1" ht="24" x14ac:dyDescent="0.3">
      <c r="A41" s="59">
        <f t="shared" si="4"/>
        <v>38</v>
      </c>
      <c r="B41" s="51">
        <v>9</v>
      </c>
      <c r="C41" s="51">
        <f t="shared" si="3"/>
        <v>10</v>
      </c>
      <c r="D41" s="412" t="s">
        <v>204</v>
      </c>
      <c r="E41" s="426" t="s">
        <v>205</v>
      </c>
      <c r="F41" s="424" t="s">
        <v>175</v>
      </c>
      <c r="G41" s="412">
        <v>2017</v>
      </c>
      <c r="H41" s="3" t="s">
        <v>104</v>
      </c>
      <c r="I41" s="27" t="s">
        <v>231</v>
      </c>
      <c r="J41" s="20" t="s">
        <v>232</v>
      </c>
      <c r="K41" s="3" t="s">
        <v>709</v>
      </c>
      <c r="L41" s="24">
        <v>46472</v>
      </c>
      <c r="M41" s="19" t="s">
        <v>149</v>
      </c>
      <c r="N41" s="136" t="s">
        <v>637</v>
      </c>
      <c r="O41" s="136" t="s">
        <v>638</v>
      </c>
      <c r="P41" s="219" t="s">
        <v>413</v>
      </c>
      <c r="Q41" s="29" t="s">
        <v>413</v>
      </c>
      <c r="R41" s="5"/>
      <c r="S41" s="5"/>
      <c r="T41" s="16"/>
      <c r="U41" s="14">
        <v>45822</v>
      </c>
      <c r="V41" s="251" t="s">
        <v>543</v>
      </c>
      <c r="W41" s="12"/>
      <c r="X41" s="12"/>
      <c r="Y41" s="116"/>
    </row>
    <row r="42" spans="1:25" s="2" customFormat="1" ht="24" x14ac:dyDescent="0.3">
      <c r="A42" s="59"/>
      <c r="B42" s="5">
        <v>10</v>
      </c>
      <c r="C42" s="51">
        <f t="shared" si="3"/>
        <v>11</v>
      </c>
      <c r="D42" s="219" t="s">
        <v>498</v>
      </c>
      <c r="E42" s="19" t="s">
        <v>151</v>
      </c>
      <c r="F42" s="4" t="s">
        <v>150</v>
      </c>
      <c r="G42" s="3">
        <v>2012</v>
      </c>
      <c r="H42" s="3" t="s">
        <v>104</v>
      </c>
      <c r="I42" s="19" t="s">
        <v>650</v>
      </c>
      <c r="J42" s="20" t="s">
        <v>152</v>
      </c>
      <c r="K42" s="3"/>
      <c r="L42" s="3"/>
      <c r="M42" s="19" t="s">
        <v>149</v>
      </c>
      <c r="N42" s="134"/>
      <c r="O42" s="134"/>
      <c r="P42" s="219" t="s">
        <v>413</v>
      </c>
      <c r="Q42" s="219"/>
      <c r="R42" s="3"/>
      <c r="S42" s="3"/>
      <c r="T42" s="21"/>
      <c r="U42" s="14">
        <v>45901</v>
      </c>
      <c r="V42" s="3" t="s">
        <v>543</v>
      </c>
      <c r="W42" s="17"/>
      <c r="X42" s="22"/>
      <c r="Y42" s="116" t="s">
        <v>358</v>
      </c>
    </row>
    <row r="43" spans="1:25" s="2" customFormat="1" ht="15" thickBot="1" x14ac:dyDescent="0.35">
      <c r="A43" s="109"/>
      <c r="B43" s="50">
        <v>12</v>
      </c>
      <c r="C43" s="51">
        <f t="shared" si="3"/>
        <v>12</v>
      </c>
      <c r="D43" s="95" t="s">
        <v>71</v>
      </c>
      <c r="E43" s="95" t="s">
        <v>69</v>
      </c>
      <c r="F43" s="96" t="s">
        <v>70</v>
      </c>
      <c r="G43" s="39"/>
      <c r="H43" s="39" t="s">
        <v>100</v>
      </c>
      <c r="I43" s="427" t="s">
        <v>737</v>
      </c>
      <c r="J43" s="41" t="s">
        <v>322</v>
      </c>
      <c r="K43" s="40" t="s">
        <v>321</v>
      </c>
      <c r="L43" s="94">
        <v>45683</v>
      </c>
      <c r="M43" s="41" t="s">
        <v>95</v>
      </c>
      <c r="N43" s="42"/>
      <c r="O43" s="42"/>
      <c r="P43" s="39"/>
      <c r="Q43" s="39"/>
      <c r="R43" s="39"/>
      <c r="S43" s="39"/>
      <c r="T43" s="43"/>
      <c r="U43" s="39"/>
      <c r="V43" s="39"/>
      <c r="W43" s="40"/>
      <c r="X43" s="44"/>
      <c r="Y43" s="121" t="s">
        <v>296</v>
      </c>
    </row>
    <row r="44" spans="1:25" s="2" customFormat="1" ht="16.8" thickBot="1" x14ac:dyDescent="0.4">
      <c r="A44" s="434" t="s">
        <v>359</v>
      </c>
      <c r="B44" s="435"/>
      <c r="C44" s="435"/>
      <c r="D44" s="435"/>
      <c r="E44" s="435"/>
      <c r="F44" s="435"/>
      <c r="G44" s="442"/>
      <c r="H44" s="443"/>
      <c r="I44" s="443"/>
      <c r="J44" s="443"/>
      <c r="K44" s="443"/>
      <c r="L44" s="443"/>
      <c r="M44" s="443"/>
      <c r="N44" s="443"/>
      <c r="O44" s="443"/>
      <c r="P44" s="443"/>
      <c r="Q44" s="443"/>
      <c r="R44" s="443"/>
      <c r="S44" s="443"/>
      <c r="T44" s="443"/>
      <c r="U44" s="443"/>
      <c r="V44" s="443"/>
      <c r="W44" s="443"/>
      <c r="X44" s="443"/>
      <c r="Y44" s="444"/>
    </row>
    <row r="45" spans="1:25" s="2" customFormat="1" x14ac:dyDescent="0.3">
      <c r="A45" s="111">
        <v>39</v>
      </c>
      <c r="B45" s="51">
        <v>1</v>
      </c>
      <c r="C45" s="51">
        <v>1</v>
      </c>
      <c r="D45" s="3" t="s">
        <v>385</v>
      </c>
      <c r="E45" s="3" t="s">
        <v>27</v>
      </c>
      <c r="F45" s="45" t="s">
        <v>28</v>
      </c>
      <c r="G45" s="19">
        <v>2023</v>
      </c>
      <c r="H45" s="19" t="s">
        <v>100</v>
      </c>
      <c r="I45" s="27" t="s">
        <v>710</v>
      </c>
      <c r="J45" s="125">
        <v>164302062558491</v>
      </c>
      <c r="K45" s="19" t="s">
        <v>730</v>
      </c>
      <c r="L45" s="406">
        <v>46563</v>
      </c>
      <c r="M45" s="19" t="s">
        <v>318</v>
      </c>
      <c r="N45" s="135" t="s">
        <v>693</v>
      </c>
      <c r="O45" s="137">
        <v>46070</v>
      </c>
      <c r="P45" s="29" t="s">
        <v>413</v>
      </c>
      <c r="Q45" s="29" t="s">
        <v>413</v>
      </c>
      <c r="R45" s="19" t="s">
        <v>413</v>
      </c>
      <c r="S45" s="19" t="s">
        <v>414</v>
      </c>
      <c r="T45" s="19" t="s">
        <v>413</v>
      </c>
      <c r="U45" s="249">
        <v>46121</v>
      </c>
      <c r="V45" s="252" t="s">
        <v>543</v>
      </c>
      <c r="W45" s="215"/>
      <c r="X45" s="215"/>
      <c r="Y45" s="216"/>
    </row>
    <row r="46" spans="1:25" s="217" customFormat="1" ht="24.6" thickBot="1" x14ac:dyDescent="0.35">
      <c r="A46" s="213">
        <v>40</v>
      </c>
      <c r="B46" s="118">
        <v>2</v>
      </c>
      <c r="C46" s="118">
        <v>2</v>
      </c>
      <c r="D46" s="19" t="s">
        <v>542</v>
      </c>
      <c r="E46" s="19" t="s">
        <v>73</v>
      </c>
      <c r="F46" s="194" t="s">
        <v>361</v>
      </c>
      <c r="G46" s="19">
        <v>2016</v>
      </c>
      <c r="H46" s="19" t="s">
        <v>100</v>
      </c>
      <c r="I46" s="27" t="s">
        <v>289</v>
      </c>
      <c r="J46" s="125" t="s">
        <v>290</v>
      </c>
      <c r="K46" s="19" t="s">
        <v>717</v>
      </c>
      <c r="L46" s="24">
        <v>46507</v>
      </c>
      <c r="M46" s="19" t="s">
        <v>95</v>
      </c>
      <c r="N46" s="135" t="s">
        <v>409</v>
      </c>
      <c r="O46" s="137">
        <v>45989</v>
      </c>
      <c r="P46" s="29" t="s">
        <v>413</v>
      </c>
      <c r="Q46" s="29" t="s">
        <v>413</v>
      </c>
      <c r="R46" s="19" t="s">
        <v>413</v>
      </c>
      <c r="S46" s="19" t="s">
        <v>414</v>
      </c>
      <c r="T46" s="19" t="s">
        <v>413</v>
      </c>
      <c r="U46" s="249">
        <v>46006</v>
      </c>
      <c r="V46" s="252" t="s">
        <v>543</v>
      </c>
      <c r="W46" s="215"/>
      <c r="X46" s="215"/>
      <c r="Y46" s="216"/>
    </row>
    <row r="47" spans="1:25" s="2" customFormat="1" ht="16.8" thickBot="1" x14ac:dyDescent="0.4">
      <c r="A47" s="434" t="s">
        <v>362</v>
      </c>
      <c r="B47" s="435"/>
      <c r="C47" s="435"/>
      <c r="D47" s="435"/>
      <c r="E47" s="435"/>
      <c r="F47" s="435"/>
      <c r="G47" s="442"/>
      <c r="H47" s="443"/>
      <c r="I47" s="443"/>
      <c r="J47" s="443"/>
      <c r="K47" s="443"/>
      <c r="L47" s="443"/>
      <c r="M47" s="443"/>
      <c r="N47" s="443"/>
      <c r="O47" s="443"/>
      <c r="P47" s="443"/>
      <c r="Q47" s="443"/>
      <c r="R47" s="443"/>
      <c r="S47" s="443"/>
      <c r="T47" s="443"/>
      <c r="U47" s="443"/>
      <c r="V47" s="443"/>
      <c r="W47" s="443"/>
      <c r="X47" s="443"/>
      <c r="Y47" s="444"/>
    </row>
    <row r="48" spans="1:25" s="2" customFormat="1" ht="41.4" x14ac:dyDescent="0.3">
      <c r="A48" s="111">
        <v>41</v>
      </c>
      <c r="B48" s="51">
        <v>1</v>
      </c>
      <c r="C48" s="51">
        <v>1</v>
      </c>
      <c r="D48" s="19" t="s">
        <v>329</v>
      </c>
      <c r="E48" s="19" t="s">
        <v>267</v>
      </c>
      <c r="F48" s="313" t="s">
        <v>266</v>
      </c>
      <c r="G48" s="19">
        <v>2021</v>
      </c>
      <c r="H48" s="19" t="s">
        <v>101</v>
      </c>
      <c r="I48" s="27" t="s">
        <v>330</v>
      </c>
      <c r="J48" s="125" t="s">
        <v>268</v>
      </c>
      <c r="K48" s="214" t="s">
        <v>535</v>
      </c>
      <c r="L48" s="19"/>
      <c r="M48" s="19" t="s">
        <v>95</v>
      </c>
      <c r="N48" s="135" t="s">
        <v>410</v>
      </c>
      <c r="O48" s="137">
        <v>46354</v>
      </c>
      <c r="P48" s="29"/>
      <c r="Q48" s="29"/>
      <c r="R48" s="29"/>
      <c r="S48" s="29"/>
      <c r="T48" s="306"/>
      <c r="U48" s="29"/>
      <c r="V48" s="208"/>
      <c r="W48" s="215"/>
      <c r="X48" s="215"/>
      <c r="Y48" s="60"/>
    </row>
    <row r="49" spans="1:25" s="2" customFormat="1" x14ac:dyDescent="0.3">
      <c r="A49" s="113">
        <v>42</v>
      </c>
      <c r="B49" s="65">
        <v>2</v>
      </c>
      <c r="C49" s="65">
        <v>2</v>
      </c>
      <c r="D49" s="3" t="s">
        <v>264</v>
      </c>
      <c r="E49" s="78" t="s">
        <v>66</v>
      </c>
      <c r="F49" s="79" t="s">
        <v>391</v>
      </c>
      <c r="G49" s="3">
        <v>2023</v>
      </c>
      <c r="H49" s="3" t="s">
        <v>101</v>
      </c>
      <c r="I49" s="102" t="s">
        <v>392</v>
      </c>
      <c r="J49" s="20" t="s">
        <v>265</v>
      </c>
      <c r="K49" s="17" t="s">
        <v>535</v>
      </c>
      <c r="L49" s="3"/>
      <c r="M49" s="19"/>
      <c r="N49" s="135" t="s">
        <v>694</v>
      </c>
      <c r="O49" s="137">
        <v>46800</v>
      </c>
      <c r="P49" s="5"/>
      <c r="Q49" s="219"/>
      <c r="R49" s="5"/>
      <c r="S49" s="5"/>
      <c r="T49" s="16"/>
      <c r="U49" s="5"/>
      <c r="V49" s="15"/>
      <c r="W49" s="12"/>
      <c r="X49" s="12"/>
      <c r="Y49" s="60"/>
    </row>
    <row r="50" spans="1:25" s="2" customFormat="1" ht="15" thickBot="1" x14ac:dyDescent="0.35">
      <c r="A50" s="109">
        <v>43</v>
      </c>
      <c r="B50" s="50">
        <v>3</v>
      </c>
      <c r="C50" s="403">
        <v>3</v>
      </c>
      <c r="D50" s="112"/>
      <c r="E50" s="3" t="s">
        <v>199</v>
      </c>
      <c r="F50" s="4" t="s">
        <v>198</v>
      </c>
      <c r="G50" s="3">
        <v>2020</v>
      </c>
      <c r="H50" s="3" t="s">
        <v>101</v>
      </c>
      <c r="I50" s="17"/>
      <c r="J50" s="20" t="s">
        <v>295</v>
      </c>
      <c r="K50" s="17"/>
      <c r="L50" s="3"/>
      <c r="M50" s="19"/>
      <c r="N50" s="28"/>
      <c r="O50" s="3"/>
      <c r="P50" s="3"/>
      <c r="Q50" s="3"/>
      <c r="R50" s="3"/>
      <c r="S50" s="21"/>
      <c r="T50" s="3"/>
      <c r="U50" s="3"/>
      <c r="V50" s="17"/>
      <c r="W50" s="22"/>
      <c r="X50" s="12"/>
      <c r="Y50" s="12" t="s">
        <v>200</v>
      </c>
    </row>
    <row r="51" spans="1:25" s="2" customFormat="1" ht="16.8" thickBot="1" x14ac:dyDescent="0.4">
      <c r="A51" s="434" t="s">
        <v>363</v>
      </c>
      <c r="B51" s="435"/>
      <c r="C51" s="435"/>
      <c r="D51" s="435"/>
      <c r="E51" s="435"/>
      <c r="F51" s="435"/>
      <c r="G51" s="442"/>
      <c r="H51" s="443"/>
      <c r="I51" s="443"/>
      <c r="J51" s="443"/>
      <c r="K51" s="443"/>
      <c r="L51" s="443"/>
      <c r="M51" s="443"/>
      <c r="N51" s="443"/>
      <c r="O51" s="443"/>
      <c r="P51" s="443"/>
      <c r="Q51" s="443"/>
      <c r="R51" s="443"/>
      <c r="S51" s="443"/>
      <c r="T51" s="443"/>
      <c r="U51" s="443"/>
      <c r="V51" s="443"/>
      <c r="W51" s="443"/>
      <c r="X51" s="443"/>
      <c r="Y51" s="444"/>
    </row>
    <row r="52" spans="1:25" s="2" customFormat="1" ht="24" x14ac:dyDescent="0.3">
      <c r="A52" s="111">
        <v>44</v>
      </c>
      <c r="B52" s="51">
        <v>1</v>
      </c>
      <c r="C52" s="51">
        <v>1</v>
      </c>
      <c r="D52" s="19" t="s">
        <v>364</v>
      </c>
      <c r="E52" s="19" t="s">
        <v>65</v>
      </c>
      <c r="F52" s="4" t="s">
        <v>89</v>
      </c>
      <c r="G52" s="3">
        <v>2022</v>
      </c>
      <c r="H52" s="3" t="s">
        <v>100</v>
      </c>
      <c r="I52" s="27" t="s">
        <v>533</v>
      </c>
      <c r="J52" s="125" t="s">
        <v>91</v>
      </c>
      <c r="K52" s="19" t="s">
        <v>699</v>
      </c>
      <c r="L52" s="24">
        <v>46459</v>
      </c>
      <c r="M52" s="19" t="s">
        <v>418</v>
      </c>
      <c r="N52" s="133"/>
      <c r="O52" s="15"/>
      <c r="P52" s="219" t="s">
        <v>413</v>
      </c>
      <c r="Q52" s="29" t="s">
        <v>413</v>
      </c>
      <c r="R52" s="5"/>
      <c r="S52" s="5"/>
      <c r="T52" s="16"/>
      <c r="U52" s="5"/>
      <c r="V52" s="15"/>
      <c r="W52" s="12"/>
      <c r="X52" s="12"/>
      <c r="Y52" s="60"/>
    </row>
    <row r="53" spans="1:25" s="2" customFormat="1" ht="24" x14ac:dyDescent="0.3">
      <c r="A53" s="111">
        <v>45</v>
      </c>
      <c r="B53" s="51">
        <v>2</v>
      </c>
      <c r="C53" s="51">
        <v>2</v>
      </c>
      <c r="D53" s="19" t="s">
        <v>310</v>
      </c>
      <c r="E53" s="29" t="s">
        <v>88</v>
      </c>
      <c r="F53" s="4" t="s">
        <v>89</v>
      </c>
      <c r="G53" s="3">
        <v>2022</v>
      </c>
      <c r="H53" s="3" t="s">
        <v>100</v>
      </c>
      <c r="I53" s="27" t="s">
        <v>300</v>
      </c>
      <c r="J53" s="125" t="s">
        <v>90</v>
      </c>
      <c r="K53" s="19" t="s">
        <v>702</v>
      </c>
      <c r="L53" s="24">
        <v>46472</v>
      </c>
      <c r="M53" s="19" t="s">
        <v>418</v>
      </c>
      <c r="N53" s="133"/>
      <c r="O53" s="137">
        <v>45778</v>
      </c>
      <c r="P53" s="219" t="s">
        <v>413</v>
      </c>
      <c r="Q53" s="29" t="s">
        <v>413</v>
      </c>
      <c r="R53" s="5"/>
      <c r="S53" s="5"/>
      <c r="T53" s="16"/>
      <c r="U53" s="5"/>
      <c r="V53" s="15"/>
      <c r="W53" s="12"/>
      <c r="X53" s="12"/>
      <c r="Y53" s="60"/>
    </row>
    <row r="54" spans="1:25" s="2" customFormat="1" ht="24.6" thickBot="1" x14ac:dyDescent="0.35">
      <c r="A54" s="113">
        <v>46</v>
      </c>
      <c r="B54" s="65">
        <v>3</v>
      </c>
      <c r="C54" s="65">
        <v>3</v>
      </c>
      <c r="D54" s="82" t="s">
        <v>293</v>
      </c>
      <c r="E54" s="142" t="s">
        <v>342</v>
      </c>
      <c r="F54" s="79" t="s">
        <v>82</v>
      </c>
      <c r="G54" s="19">
        <v>2022</v>
      </c>
      <c r="H54" s="3" t="s">
        <v>104</v>
      </c>
      <c r="I54" s="27" t="s">
        <v>421</v>
      </c>
      <c r="J54" s="125" t="s">
        <v>294</v>
      </c>
      <c r="K54" s="19" t="s">
        <v>718</v>
      </c>
      <c r="L54" s="24">
        <v>46478</v>
      </c>
      <c r="M54" s="19" t="s">
        <v>95</v>
      </c>
      <c r="N54" s="133"/>
      <c r="O54" s="15"/>
      <c r="P54" s="29" t="s">
        <v>413</v>
      </c>
      <c r="Q54" s="29"/>
      <c r="R54" s="5"/>
      <c r="S54" s="5"/>
      <c r="T54" s="16"/>
      <c r="U54" s="5"/>
      <c r="V54" s="15"/>
      <c r="W54" s="12"/>
      <c r="X54" s="12"/>
      <c r="Y54" s="60"/>
    </row>
    <row r="55" spans="1:25" s="2" customFormat="1" ht="16.8" thickBot="1" x14ac:dyDescent="0.35">
      <c r="A55" s="445" t="s">
        <v>365</v>
      </c>
      <c r="B55" s="446"/>
      <c r="C55" s="446"/>
      <c r="D55" s="446"/>
      <c r="E55" s="446"/>
      <c r="F55" s="446"/>
      <c r="G55" s="442"/>
      <c r="H55" s="443"/>
      <c r="I55" s="443"/>
      <c r="J55" s="443"/>
      <c r="K55" s="443"/>
      <c r="L55" s="443"/>
      <c r="M55" s="443"/>
      <c r="N55" s="443"/>
      <c r="O55" s="443"/>
      <c r="P55" s="443"/>
      <c r="Q55" s="443"/>
      <c r="R55" s="443"/>
      <c r="S55" s="443"/>
      <c r="T55" s="443"/>
      <c r="U55" s="443"/>
      <c r="V55" s="443"/>
      <c r="W55" s="443"/>
      <c r="X55" s="443"/>
      <c r="Y55" s="444"/>
    </row>
    <row r="56" spans="1:25" s="2" customFormat="1" ht="24" x14ac:dyDescent="0.3">
      <c r="A56" s="111">
        <v>47</v>
      </c>
      <c r="B56" s="51">
        <v>1</v>
      </c>
      <c r="C56" s="51">
        <v>1</v>
      </c>
      <c r="D56" s="86" t="s">
        <v>170</v>
      </c>
      <c r="E56" s="86" t="s">
        <v>168</v>
      </c>
      <c r="F56" s="104" t="s">
        <v>169</v>
      </c>
      <c r="G56" s="3">
        <v>2018</v>
      </c>
      <c r="H56" s="3" t="s">
        <v>100</v>
      </c>
      <c r="I56" s="102" t="s">
        <v>171</v>
      </c>
      <c r="J56" s="20" t="s">
        <v>172</v>
      </c>
      <c r="K56" s="19" t="s">
        <v>719</v>
      </c>
      <c r="L56" s="18">
        <v>46526</v>
      </c>
      <c r="M56" s="19"/>
      <c r="N56" s="15"/>
      <c r="O56" s="15"/>
      <c r="P56" s="219" t="s">
        <v>413</v>
      </c>
      <c r="Q56" s="219" t="s">
        <v>413</v>
      </c>
      <c r="R56" s="5"/>
      <c r="S56" s="5"/>
      <c r="T56" s="16"/>
      <c r="U56" s="5"/>
      <c r="V56" s="15"/>
      <c r="W56" s="12"/>
      <c r="X56" s="12"/>
      <c r="Y56" s="60"/>
    </row>
    <row r="57" spans="1:25" s="2" customFormat="1" ht="24.6" thickBot="1" x14ac:dyDescent="0.35">
      <c r="A57" s="113">
        <v>48</v>
      </c>
      <c r="B57" s="65">
        <v>2</v>
      </c>
      <c r="C57" s="65">
        <v>2</v>
      </c>
      <c r="D57" s="78" t="s">
        <v>281</v>
      </c>
      <c r="E57" s="82" t="s">
        <v>61</v>
      </c>
      <c r="F57" s="79" t="s">
        <v>62</v>
      </c>
      <c r="G57" s="3">
        <v>2022</v>
      </c>
      <c r="H57" s="3" t="s">
        <v>100</v>
      </c>
      <c r="I57" s="102" t="s">
        <v>303</v>
      </c>
      <c r="J57" s="20" t="s">
        <v>282</v>
      </c>
      <c r="K57" s="19" t="s">
        <v>666</v>
      </c>
      <c r="L57" s="14">
        <v>46289</v>
      </c>
      <c r="M57" s="19" t="s">
        <v>95</v>
      </c>
      <c r="N57" s="15"/>
      <c r="O57" s="15"/>
      <c r="P57" s="219"/>
      <c r="Q57" s="219"/>
      <c r="R57" s="5"/>
      <c r="S57" s="5"/>
      <c r="T57" s="16"/>
      <c r="U57" s="5"/>
      <c r="V57" s="15"/>
      <c r="W57" s="12"/>
      <c r="X57" s="12"/>
      <c r="Y57" s="60"/>
    </row>
    <row r="58" spans="1:25" s="2" customFormat="1" ht="16.8" thickBot="1" x14ac:dyDescent="0.4">
      <c r="A58" s="434" t="s">
        <v>366</v>
      </c>
      <c r="B58" s="435"/>
      <c r="C58" s="435"/>
      <c r="D58" s="435"/>
      <c r="E58" s="435"/>
      <c r="F58" s="435"/>
      <c r="G58" s="442"/>
      <c r="H58" s="443"/>
      <c r="I58" s="443"/>
      <c r="J58" s="443"/>
      <c r="K58" s="443"/>
      <c r="L58" s="443"/>
      <c r="M58" s="443"/>
      <c r="N58" s="443"/>
      <c r="O58" s="443"/>
      <c r="P58" s="443"/>
      <c r="Q58" s="443"/>
      <c r="R58" s="443"/>
      <c r="S58" s="443"/>
      <c r="T58" s="443"/>
      <c r="U58" s="443"/>
      <c r="V58" s="443"/>
      <c r="W58" s="443"/>
      <c r="X58" s="443"/>
      <c r="Y58" s="444"/>
    </row>
    <row r="59" spans="1:25" s="2" customFormat="1" ht="26.4" customHeight="1" x14ac:dyDescent="0.3">
      <c r="A59" s="111">
        <v>49</v>
      </c>
      <c r="B59" s="51">
        <v>1</v>
      </c>
      <c r="C59" s="51">
        <v>1</v>
      </c>
      <c r="D59" s="3" t="s">
        <v>243</v>
      </c>
      <c r="E59" s="319" t="s">
        <v>244</v>
      </c>
      <c r="F59" s="381" t="s">
        <v>85</v>
      </c>
      <c r="G59" s="19">
        <v>2018</v>
      </c>
      <c r="H59" s="3" t="s">
        <v>100</v>
      </c>
      <c r="I59" s="102" t="s">
        <v>245</v>
      </c>
      <c r="J59" s="20" t="s">
        <v>246</v>
      </c>
      <c r="K59" s="19" t="s">
        <v>657</v>
      </c>
      <c r="L59" s="18">
        <v>46281</v>
      </c>
      <c r="M59" s="19" t="s">
        <v>95</v>
      </c>
      <c r="N59" s="133"/>
      <c r="O59" s="15"/>
      <c r="P59" s="219" t="s">
        <v>413</v>
      </c>
      <c r="Q59" s="219" t="s">
        <v>413</v>
      </c>
      <c r="R59" s="5" t="s">
        <v>414</v>
      </c>
      <c r="S59" s="5" t="s">
        <v>415</v>
      </c>
      <c r="T59" s="5" t="s">
        <v>415</v>
      </c>
      <c r="U59" s="5"/>
      <c r="V59" s="15"/>
      <c r="W59" s="12"/>
      <c r="X59" s="12"/>
      <c r="Y59" s="60"/>
    </row>
    <row r="60" spans="1:25" s="2" customFormat="1" ht="24.6" customHeight="1" x14ac:dyDescent="0.3">
      <c r="A60" s="111"/>
      <c r="B60" s="51"/>
      <c r="C60" s="51">
        <v>2</v>
      </c>
      <c r="D60" s="29" t="s">
        <v>677</v>
      </c>
      <c r="E60" s="380" t="s">
        <v>610</v>
      </c>
      <c r="F60" s="323" t="s">
        <v>420</v>
      </c>
      <c r="G60" s="19">
        <v>2017</v>
      </c>
      <c r="H60" s="3" t="s">
        <v>104</v>
      </c>
      <c r="I60" s="27" t="s">
        <v>678</v>
      </c>
      <c r="J60" s="125" t="s">
        <v>679</v>
      </c>
      <c r="K60" s="19" t="s">
        <v>740</v>
      </c>
      <c r="L60" s="24">
        <v>46604</v>
      </c>
      <c r="M60" s="19" t="s">
        <v>676</v>
      </c>
      <c r="O60" s="135" t="s">
        <v>680</v>
      </c>
      <c r="P60" s="219"/>
      <c r="Q60" s="219"/>
      <c r="R60" s="5"/>
      <c r="S60" s="5"/>
      <c r="T60" s="5"/>
      <c r="U60" s="5"/>
      <c r="V60" s="15"/>
      <c r="W60" s="12"/>
      <c r="X60" s="12"/>
      <c r="Y60" s="116" t="s">
        <v>611</v>
      </c>
    </row>
    <row r="61" spans="1:25" s="2" customFormat="1" x14ac:dyDescent="0.3">
      <c r="A61" s="111">
        <f>A59+1</f>
        <v>50</v>
      </c>
      <c r="B61" s="51">
        <v>2</v>
      </c>
      <c r="C61" s="51">
        <v>3</v>
      </c>
      <c r="D61" s="219" t="s">
        <v>255</v>
      </c>
      <c r="E61" s="405" t="s">
        <v>86</v>
      </c>
      <c r="F61" s="227" t="s">
        <v>87</v>
      </c>
      <c r="G61" s="19">
        <v>2020</v>
      </c>
      <c r="H61" s="3" t="s">
        <v>100</v>
      </c>
      <c r="I61" s="102" t="s">
        <v>256</v>
      </c>
      <c r="J61" s="20" t="s">
        <v>257</v>
      </c>
      <c r="K61" s="19" t="s">
        <v>700</v>
      </c>
      <c r="L61" s="18">
        <v>46476</v>
      </c>
      <c r="M61" s="19" t="s">
        <v>95</v>
      </c>
      <c r="N61" s="133"/>
      <c r="O61" s="15"/>
      <c r="P61" s="219"/>
      <c r="Q61" s="219"/>
      <c r="R61" s="5" t="s">
        <v>414</v>
      </c>
      <c r="S61" s="5" t="s">
        <v>415</v>
      </c>
      <c r="T61" s="5" t="s">
        <v>415</v>
      </c>
      <c r="U61" s="5"/>
      <c r="V61" s="15"/>
      <c r="W61" s="12"/>
      <c r="X61" s="12"/>
      <c r="Y61" s="60"/>
    </row>
    <row r="62" spans="1:25" s="2" customFormat="1" ht="24" x14ac:dyDescent="0.3">
      <c r="A62" s="111">
        <f>A61+1</f>
        <v>51</v>
      </c>
      <c r="B62" s="51">
        <v>3</v>
      </c>
      <c r="C62" s="51">
        <v>4</v>
      </c>
      <c r="D62" s="3" t="s">
        <v>157</v>
      </c>
      <c r="E62" s="28" t="s">
        <v>158</v>
      </c>
      <c r="F62" s="4" t="s">
        <v>159</v>
      </c>
      <c r="G62" s="19">
        <v>2018</v>
      </c>
      <c r="H62" s="3" t="s">
        <v>100</v>
      </c>
      <c r="I62" s="102" t="s">
        <v>160</v>
      </c>
      <c r="J62" s="20" t="s">
        <v>161</v>
      </c>
      <c r="K62" s="19" t="s">
        <v>734</v>
      </c>
      <c r="L62" s="18">
        <v>46597</v>
      </c>
      <c r="M62" s="19" t="s">
        <v>112</v>
      </c>
      <c r="N62" s="133"/>
      <c r="O62" s="15"/>
      <c r="P62" s="219" t="s">
        <v>413</v>
      </c>
      <c r="Q62" s="219" t="s">
        <v>413</v>
      </c>
      <c r="R62" s="5" t="s">
        <v>414</v>
      </c>
      <c r="S62" s="5" t="s">
        <v>415</v>
      </c>
      <c r="T62" s="5" t="s">
        <v>415</v>
      </c>
      <c r="U62" s="5"/>
      <c r="V62" s="15"/>
      <c r="W62" s="12"/>
      <c r="X62" s="12"/>
      <c r="Y62" s="60"/>
    </row>
    <row r="63" spans="1:25" s="2" customFormat="1" ht="24.6" thickBot="1" x14ac:dyDescent="0.35">
      <c r="A63" s="111">
        <f>A62+1</f>
        <v>52</v>
      </c>
      <c r="B63" s="51">
        <v>4</v>
      </c>
      <c r="C63" s="51">
        <v>5</v>
      </c>
      <c r="D63" s="19" t="s">
        <v>119</v>
      </c>
      <c r="E63" s="19" t="s">
        <v>120</v>
      </c>
      <c r="F63" s="4" t="s">
        <v>64</v>
      </c>
      <c r="G63" s="19">
        <v>2020</v>
      </c>
      <c r="H63" s="3" t="s">
        <v>100</v>
      </c>
      <c r="I63" s="102" t="s">
        <v>305</v>
      </c>
      <c r="J63" s="125" t="s">
        <v>118</v>
      </c>
      <c r="K63" s="19" t="s">
        <v>707</v>
      </c>
      <c r="L63" s="18">
        <v>46478</v>
      </c>
      <c r="M63" s="19" t="s">
        <v>95</v>
      </c>
      <c r="N63" s="134"/>
      <c r="O63" s="20"/>
      <c r="P63" s="219" t="s">
        <v>413</v>
      </c>
      <c r="Q63" s="219"/>
      <c r="R63" s="3" t="s">
        <v>414</v>
      </c>
      <c r="S63" s="5" t="s">
        <v>415</v>
      </c>
      <c r="T63" s="5" t="s">
        <v>415</v>
      </c>
      <c r="U63" s="3"/>
      <c r="V63" s="17"/>
      <c r="W63" s="17"/>
      <c r="X63" s="22"/>
      <c r="Y63" s="116" t="s">
        <v>125</v>
      </c>
    </row>
    <row r="64" spans="1:25" s="2" customFormat="1" ht="16.8" thickBot="1" x14ac:dyDescent="0.4">
      <c r="A64" s="434" t="s">
        <v>367</v>
      </c>
      <c r="B64" s="435"/>
      <c r="C64" s="435"/>
      <c r="D64" s="435"/>
      <c r="E64" s="435"/>
      <c r="F64" s="435"/>
      <c r="G64" s="442"/>
      <c r="H64" s="443"/>
      <c r="I64" s="443"/>
      <c r="J64" s="443"/>
      <c r="K64" s="443"/>
      <c r="L64" s="443"/>
      <c r="M64" s="443"/>
      <c r="N64" s="443"/>
      <c r="O64" s="443"/>
      <c r="P64" s="443"/>
      <c r="Q64" s="443"/>
      <c r="R64" s="443"/>
      <c r="S64" s="443"/>
      <c r="T64" s="443"/>
      <c r="U64" s="443"/>
      <c r="V64" s="443"/>
      <c r="W64" s="443"/>
      <c r="X64" s="443"/>
      <c r="Y64" s="444"/>
    </row>
    <row r="65" spans="1:25" s="2" customFormat="1" ht="24" x14ac:dyDescent="0.3">
      <c r="A65" s="111">
        <v>53</v>
      </c>
      <c r="B65" s="51">
        <v>1</v>
      </c>
      <c r="C65" s="51">
        <v>1</v>
      </c>
      <c r="D65" s="3" t="s">
        <v>143</v>
      </c>
      <c r="E65" s="19" t="s">
        <v>46</v>
      </c>
      <c r="F65" s="4" t="s">
        <v>144</v>
      </c>
      <c r="G65" s="19">
        <v>2022</v>
      </c>
      <c r="H65" s="3" t="s">
        <v>101</v>
      </c>
      <c r="I65" s="27" t="s">
        <v>681</v>
      </c>
      <c r="J65" s="125" t="s">
        <v>145</v>
      </c>
      <c r="K65" s="19" t="s">
        <v>705</v>
      </c>
      <c r="L65" s="24">
        <v>46478</v>
      </c>
      <c r="M65" s="19" t="s">
        <v>95</v>
      </c>
      <c r="N65" s="134"/>
      <c r="O65" s="24"/>
      <c r="P65" s="3"/>
      <c r="Q65" s="3"/>
      <c r="R65" s="3"/>
      <c r="S65" s="3"/>
      <c r="T65" s="21"/>
      <c r="U65" s="3"/>
      <c r="V65" s="17"/>
      <c r="W65" s="17"/>
      <c r="X65" s="22"/>
      <c r="Y65" s="116" t="s">
        <v>125</v>
      </c>
    </row>
    <row r="66" spans="1:25" s="2" customFormat="1" ht="24" x14ac:dyDescent="0.3">
      <c r="A66" s="111">
        <f t="shared" ref="A66:A71" si="5">A65+1</f>
        <v>54</v>
      </c>
      <c r="B66" s="51">
        <v>2</v>
      </c>
      <c r="C66" s="51">
        <v>2</v>
      </c>
      <c r="D66" s="3" t="s">
        <v>334</v>
      </c>
      <c r="E66" s="19" t="s">
        <v>47</v>
      </c>
      <c r="F66" s="4" t="s">
        <v>48</v>
      </c>
      <c r="G66" s="19"/>
      <c r="H66" s="3" t="s">
        <v>101</v>
      </c>
      <c r="I66" s="102" t="s">
        <v>695</v>
      </c>
      <c r="J66" s="125" t="s">
        <v>696</v>
      </c>
      <c r="K66" s="3" t="s">
        <v>656</v>
      </c>
      <c r="L66" s="18">
        <v>46280</v>
      </c>
      <c r="M66" s="19" t="s">
        <v>95</v>
      </c>
      <c r="N66" s="134"/>
      <c r="O66" s="24">
        <v>45839</v>
      </c>
      <c r="P66" s="3" t="s">
        <v>413</v>
      </c>
      <c r="Q66" s="3"/>
      <c r="R66" s="3"/>
      <c r="S66" s="3"/>
      <c r="T66" s="21"/>
      <c r="U66" s="3"/>
      <c r="V66" s="17"/>
      <c r="W66" s="17"/>
      <c r="X66" s="22"/>
      <c r="Y66" s="116" t="s">
        <v>534</v>
      </c>
    </row>
    <row r="67" spans="1:25" s="2" customFormat="1" ht="24" x14ac:dyDescent="0.3">
      <c r="A67" s="111">
        <f t="shared" si="5"/>
        <v>55</v>
      </c>
      <c r="B67" s="51">
        <v>3</v>
      </c>
      <c r="C67" s="51">
        <v>3</v>
      </c>
      <c r="D67" s="19" t="s">
        <v>370</v>
      </c>
      <c r="E67" s="19" t="s">
        <v>308</v>
      </c>
      <c r="F67" s="4" t="s">
        <v>368</v>
      </c>
      <c r="G67" s="19"/>
      <c r="H67" s="19" t="s">
        <v>103</v>
      </c>
      <c r="I67" s="27" t="s">
        <v>536</v>
      </c>
      <c r="J67" s="125" t="s">
        <v>401</v>
      </c>
      <c r="K67" s="19" t="s">
        <v>738</v>
      </c>
      <c r="L67" s="24">
        <v>46588</v>
      </c>
      <c r="M67" s="19" t="s">
        <v>95</v>
      </c>
      <c r="N67" s="207"/>
      <c r="O67" s="137">
        <v>45809</v>
      </c>
      <c r="P67" s="29"/>
      <c r="Q67" s="29"/>
      <c r="R67" s="29"/>
      <c r="S67" s="29"/>
      <c r="T67" s="306"/>
      <c r="U67" s="29"/>
      <c r="V67" s="208"/>
      <c r="W67" s="215"/>
      <c r="X67" s="215"/>
      <c r="Y67" s="148"/>
    </row>
    <row r="68" spans="1:25" s="2" customFormat="1" ht="24" x14ac:dyDescent="0.3">
      <c r="A68" s="111">
        <f t="shared" si="5"/>
        <v>56</v>
      </c>
      <c r="B68" s="51">
        <v>4</v>
      </c>
      <c r="C68" s="51">
        <v>4</v>
      </c>
      <c r="D68" s="3" t="s">
        <v>371</v>
      </c>
      <c r="E68" s="19" t="s">
        <v>309</v>
      </c>
      <c r="F68" s="4" t="s">
        <v>369</v>
      </c>
      <c r="G68" s="19">
        <v>2022</v>
      </c>
      <c r="H68" s="19" t="s">
        <v>103</v>
      </c>
      <c r="I68" s="27" t="s">
        <v>301</v>
      </c>
      <c r="J68" s="125" t="s">
        <v>400</v>
      </c>
      <c r="K68" s="19" t="s">
        <v>739</v>
      </c>
      <c r="L68" s="24">
        <v>46588</v>
      </c>
      <c r="M68" s="19" t="s">
        <v>95</v>
      </c>
      <c r="N68" s="207"/>
      <c r="O68" s="137">
        <v>45809</v>
      </c>
      <c r="P68" s="29"/>
      <c r="Q68" s="29"/>
      <c r="R68" s="29"/>
      <c r="S68" s="29"/>
      <c r="T68" s="306"/>
      <c r="U68" s="29"/>
      <c r="V68" s="208"/>
      <c r="W68" s="215"/>
      <c r="X68" s="215"/>
      <c r="Y68" s="148"/>
    </row>
    <row r="69" spans="1:25" s="2" customFormat="1" x14ac:dyDescent="0.3">
      <c r="A69" s="111" t="s">
        <v>621</v>
      </c>
      <c r="B69" s="51">
        <v>5</v>
      </c>
      <c r="C69" s="51">
        <v>5</v>
      </c>
      <c r="D69" s="3" t="s">
        <v>673</v>
      </c>
      <c r="E69" s="136" t="s">
        <v>83</v>
      </c>
      <c r="F69" s="4" t="s">
        <v>84</v>
      </c>
      <c r="G69" s="19">
        <v>2022</v>
      </c>
      <c r="H69" s="3" t="s">
        <v>103</v>
      </c>
      <c r="I69" s="102" t="s">
        <v>674</v>
      </c>
      <c r="J69" s="125" t="s">
        <v>139</v>
      </c>
      <c r="K69" s="3" t="s">
        <v>708</v>
      </c>
      <c r="L69" s="18">
        <v>46478</v>
      </c>
      <c r="M69" s="19" t="s">
        <v>95</v>
      </c>
      <c r="N69" s="136" t="s">
        <v>675</v>
      </c>
      <c r="O69" s="24">
        <v>46296</v>
      </c>
      <c r="P69" s="219" t="s">
        <v>413</v>
      </c>
      <c r="Q69" s="219" t="s">
        <v>413</v>
      </c>
      <c r="R69" s="3"/>
      <c r="S69" s="3"/>
      <c r="T69" s="21"/>
      <c r="U69" s="3"/>
      <c r="V69" s="17"/>
      <c r="W69" s="17"/>
      <c r="X69" s="22"/>
      <c r="Y69" s="116" t="s">
        <v>125</v>
      </c>
    </row>
    <row r="70" spans="1:25" s="2" customFormat="1" ht="24" x14ac:dyDescent="0.3">
      <c r="A70" s="111" t="e">
        <f t="shared" si="5"/>
        <v>#VALUE!</v>
      </c>
      <c r="B70" s="51">
        <v>6</v>
      </c>
      <c r="C70" s="51">
        <v>6</v>
      </c>
      <c r="D70" s="19" t="s">
        <v>373</v>
      </c>
      <c r="E70" s="318" t="s">
        <v>283</v>
      </c>
      <c r="F70" s="4" t="s">
        <v>72</v>
      </c>
      <c r="G70" s="19">
        <v>2022</v>
      </c>
      <c r="H70" s="3" t="s">
        <v>103</v>
      </c>
      <c r="I70" s="102" t="s">
        <v>291</v>
      </c>
      <c r="J70" s="125" t="s">
        <v>130</v>
      </c>
      <c r="K70" s="19" t="s">
        <v>654</v>
      </c>
      <c r="L70" s="24">
        <v>46280</v>
      </c>
      <c r="M70" s="19" t="s">
        <v>167</v>
      </c>
      <c r="N70" s="134"/>
      <c r="O70" s="24"/>
      <c r="P70" s="219" t="s">
        <v>413</v>
      </c>
      <c r="Q70" s="29" t="s">
        <v>413</v>
      </c>
      <c r="R70" s="3"/>
      <c r="S70" s="3"/>
      <c r="T70" s="21"/>
      <c r="U70" s="3"/>
      <c r="V70" s="17"/>
      <c r="W70" s="17"/>
      <c r="X70" s="22"/>
      <c r="Y70" s="116"/>
    </row>
    <row r="71" spans="1:25" s="2" customFormat="1" x14ac:dyDescent="0.3">
      <c r="A71" s="111" t="e">
        <f t="shared" si="5"/>
        <v>#VALUE!</v>
      </c>
      <c r="B71" s="65">
        <v>7</v>
      </c>
      <c r="C71" s="65">
        <v>7</v>
      </c>
      <c r="D71" s="3" t="s">
        <v>423</v>
      </c>
      <c r="E71" s="319" t="s">
        <v>128</v>
      </c>
      <c r="F71" s="4" t="s">
        <v>127</v>
      </c>
      <c r="G71" s="19">
        <v>2005</v>
      </c>
      <c r="H71" s="3" t="s">
        <v>103</v>
      </c>
      <c r="I71" s="102" t="s">
        <v>494</v>
      </c>
      <c r="J71" s="125" t="s">
        <v>129</v>
      </c>
      <c r="K71" s="3" t="s">
        <v>658</v>
      </c>
      <c r="L71" s="18">
        <v>46289</v>
      </c>
      <c r="M71" s="19" t="s">
        <v>112</v>
      </c>
      <c r="N71" s="133"/>
      <c r="O71" s="137"/>
      <c r="P71" s="219" t="s">
        <v>413</v>
      </c>
      <c r="Q71" s="29" t="s">
        <v>413</v>
      </c>
      <c r="R71" s="5"/>
      <c r="S71" s="5"/>
      <c r="T71" s="16"/>
      <c r="U71" s="5"/>
      <c r="V71" s="15"/>
      <c r="W71" s="12"/>
      <c r="X71" s="12"/>
      <c r="Y71" s="116"/>
    </row>
    <row r="72" spans="1:25" s="2" customFormat="1" ht="15" thickBot="1" x14ac:dyDescent="0.35">
      <c r="A72" s="428"/>
      <c r="B72" s="403"/>
      <c r="C72" s="403"/>
      <c r="D72" s="3" t="s">
        <v>733</v>
      </c>
      <c r="E72" s="319" t="s">
        <v>744</v>
      </c>
      <c r="F72" s="4" t="s">
        <v>745</v>
      </c>
      <c r="G72" s="19">
        <v>2022</v>
      </c>
      <c r="H72" s="3" t="s">
        <v>101</v>
      </c>
      <c r="I72" s="102" t="s">
        <v>746</v>
      </c>
      <c r="J72" s="125"/>
      <c r="K72" s="3"/>
      <c r="L72" s="130"/>
      <c r="M72" s="19"/>
      <c r="N72" s="133"/>
      <c r="O72" s="137"/>
      <c r="P72" s="403"/>
      <c r="Q72" s="429"/>
      <c r="R72" s="403"/>
      <c r="S72" s="403"/>
      <c r="T72" s="430"/>
      <c r="U72" s="403"/>
      <c r="V72" s="431"/>
      <c r="W72" s="432"/>
      <c r="X72" s="432"/>
      <c r="Y72" s="433"/>
    </row>
    <row r="73" spans="1:25" s="2" customFormat="1" ht="16.8" thickBot="1" x14ac:dyDescent="0.4">
      <c r="A73" s="434" t="s">
        <v>372</v>
      </c>
      <c r="B73" s="435"/>
      <c r="C73" s="435"/>
      <c r="D73" s="493"/>
      <c r="E73" s="493"/>
      <c r="F73" s="493"/>
      <c r="G73" s="447"/>
      <c r="H73" s="494"/>
      <c r="I73" s="494"/>
      <c r="J73" s="494"/>
      <c r="K73" s="494"/>
      <c r="L73" s="494"/>
      <c r="M73" s="494"/>
      <c r="N73" s="494"/>
      <c r="O73" s="494"/>
      <c r="P73" s="443"/>
      <c r="Q73" s="443"/>
      <c r="R73" s="443"/>
      <c r="S73" s="443"/>
      <c r="T73" s="443"/>
      <c r="U73" s="443"/>
      <c r="V73" s="443"/>
      <c r="W73" s="443"/>
      <c r="X73" s="443"/>
      <c r="Y73" s="444"/>
    </row>
    <row r="74" spans="1:25" s="2" customFormat="1" ht="24" x14ac:dyDescent="0.3">
      <c r="A74" s="111">
        <v>60</v>
      </c>
      <c r="B74" s="51">
        <v>1</v>
      </c>
      <c r="C74" s="51">
        <v>1</v>
      </c>
      <c r="D74" s="19" t="s">
        <v>335</v>
      </c>
      <c r="E74" s="19" t="s">
        <v>51</v>
      </c>
      <c r="F74" s="4" t="s">
        <v>52</v>
      </c>
      <c r="G74" s="19">
        <v>2022</v>
      </c>
      <c r="H74" s="19" t="s">
        <v>103</v>
      </c>
      <c r="I74" s="102" t="s">
        <v>280</v>
      </c>
      <c r="J74" s="125" t="s">
        <v>279</v>
      </c>
      <c r="K74" s="3" t="s">
        <v>664</v>
      </c>
      <c r="L74" s="249">
        <v>46289</v>
      </c>
      <c r="M74" s="19" t="s">
        <v>95</v>
      </c>
      <c r="N74" s="133"/>
      <c r="O74" s="15"/>
      <c r="P74" s="11" t="s">
        <v>413</v>
      </c>
      <c r="Q74" s="197" t="s">
        <v>413</v>
      </c>
      <c r="R74" s="5"/>
      <c r="S74" s="5"/>
      <c r="T74" s="16"/>
      <c r="U74" s="5"/>
      <c r="V74" s="15"/>
      <c r="W74" s="12"/>
      <c r="X74" s="12"/>
      <c r="Y74" s="60"/>
    </row>
    <row r="75" spans="1:25" s="2" customFormat="1" ht="24" x14ac:dyDescent="0.3">
      <c r="A75" s="111">
        <f>A74+1</f>
        <v>61</v>
      </c>
      <c r="B75" s="51">
        <v>2</v>
      </c>
      <c r="C75" s="51">
        <v>2</v>
      </c>
      <c r="D75" s="19" t="s">
        <v>122</v>
      </c>
      <c r="E75" s="19" t="s">
        <v>53</v>
      </c>
      <c r="F75" s="4" t="s">
        <v>269</v>
      </c>
      <c r="G75" s="19">
        <v>2022</v>
      </c>
      <c r="H75" s="19" t="s">
        <v>100</v>
      </c>
      <c r="I75" s="27" t="s">
        <v>304</v>
      </c>
      <c r="J75" s="125" t="s">
        <v>121</v>
      </c>
      <c r="K75" s="3" t="s">
        <v>324</v>
      </c>
      <c r="L75" s="353">
        <v>45932</v>
      </c>
      <c r="M75" s="19" t="s">
        <v>95</v>
      </c>
      <c r="N75" s="133"/>
      <c r="O75" s="15"/>
      <c r="P75" s="11" t="s">
        <v>413</v>
      </c>
      <c r="Q75" s="11"/>
      <c r="R75" s="5"/>
      <c r="S75" s="5"/>
      <c r="T75" s="16"/>
      <c r="U75" s="5"/>
      <c r="V75" s="15"/>
      <c r="W75" s="12"/>
      <c r="X75" s="12"/>
      <c r="Y75" s="60"/>
    </row>
    <row r="76" spans="1:25" s="2" customFormat="1" ht="24" x14ac:dyDescent="0.3">
      <c r="A76" s="111">
        <f t="shared" ref="A76:A82" si="6">A75+1</f>
        <v>62</v>
      </c>
      <c r="B76" s="51">
        <v>3</v>
      </c>
      <c r="C76" s="51">
        <v>3</v>
      </c>
      <c r="D76" s="19" t="s">
        <v>271</v>
      </c>
      <c r="E76" s="19" t="s">
        <v>54</v>
      </c>
      <c r="F76" s="4" t="s">
        <v>269</v>
      </c>
      <c r="G76" s="19">
        <v>2022</v>
      </c>
      <c r="H76" s="19" t="s">
        <v>100</v>
      </c>
      <c r="I76" s="102" t="s">
        <v>278</v>
      </c>
      <c r="J76" s="125" t="s">
        <v>270</v>
      </c>
      <c r="K76" s="3" t="s">
        <v>326</v>
      </c>
      <c r="L76" s="353">
        <v>45905</v>
      </c>
      <c r="M76" s="29" t="s">
        <v>95</v>
      </c>
      <c r="N76" s="133"/>
      <c r="O76" s="15"/>
      <c r="P76" s="11" t="s">
        <v>413</v>
      </c>
      <c r="Q76" s="11"/>
      <c r="R76" s="5"/>
      <c r="S76" s="5"/>
      <c r="T76" s="16"/>
      <c r="U76" s="5"/>
      <c r="V76" s="15"/>
      <c r="W76" s="12"/>
      <c r="X76" s="12"/>
      <c r="Y76" s="60"/>
    </row>
    <row r="77" spans="1:25" s="2" customFormat="1" x14ac:dyDescent="0.3">
      <c r="A77" s="111">
        <f t="shared" si="6"/>
        <v>63</v>
      </c>
      <c r="B77" s="51">
        <v>4</v>
      </c>
      <c r="C77" s="51">
        <v>4</v>
      </c>
      <c r="D77" s="19" t="s">
        <v>496</v>
      </c>
      <c r="E77" s="19" t="s">
        <v>55</v>
      </c>
      <c r="F77" s="4" t="s">
        <v>56</v>
      </c>
      <c r="G77" s="19">
        <v>2013</v>
      </c>
      <c r="H77" s="19" t="s">
        <v>100</v>
      </c>
      <c r="I77" s="102" t="s">
        <v>306</v>
      </c>
      <c r="J77" s="125" t="s">
        <v>105</v>
      </c>
      <c r="K77" s="3" t="s">
        <v>662</v>
      </c>
      <c r="L77" s="24">
        <v>46289</v>
      </c>
      <c r="M77" s="19" t="s">
        <v>95</v>
      </c>
      <c r="N77" s="133"/>
      <c r="O77" s="15"/>
      <c r="P77" s="11" t="s">
        <v>413</v>
      </c>
      <c r="Q77" s="11"/>
      <c r="R77" s="5"/>
      <c r="S77" s="5"/>
      <c r="T77" s="16"/>
      <c r="U77" s="5"/>
      <c r="V77" s="15"/>
      <c r="W77" s="12"/>
      <c r="X77" s="12"/>
      <c r="Y77" s="60"/>
    </row>
    <row r="78" spans="1:25" s="2" customFormat="1" ht="25.2" customHeight="1" x14ac:dyDescent="0.3">
      <c r="A78" s="111">
        <f t="shared" si="6"/>
        <v>64</v>
      </c>
      <c r="B78" s="51">
        <v>5</v>
      </c>
      <c r="C78" s="51">
        <v>5</v>
      </c>
      <c r="D78" s="19" t="s">
        <v>374</v>
      </c>
      <c r="E78" s="19" t="s">
        <v>57</v>
      </c>
      <c r="F78" s="4" t="s">
        <v>58</v>
      </c>
      <c r="G78" s="19">
        <v>2024</v>
      </c>
      <c r="H78" s="19" t="s">
        <v>100</v>
      </c>
      <c r="I78" s="27" t="s">
        <v>615</v>
      </c>
      <c r="J78" s="125" t="s">
        <v>398</v>
      </c>
      <c r="K78" s="19" t="s">
        <v>665</v>
      </c>
      <c r="L78" s="249">
        <v>46289</v>
      </c>
      <c r="M78" s="19" t="s">
        <v>95</v>
      </c>
      <c r="N78" s="133"/>
      <c r="O78" s="15"/>
      <c r="P78" s="5"/>
      <c r="Q78" s="219"/>
      <c r="R78" s="5"/>
      <c r="S78" s="5"/>
      <c r="T78" s="16"/>
      <c r="U78" s="5"/>
      <c r="V78" s="15"/>
      <c r="W78" s="12"/>
      <c r="X78" s="12"/>
      <c r="Y78" s="148" t="s">
        <v>422</v>
      </c>
    </row>
    <row r="79" spans="1:25" s="2" customFormat="1" ht="24" x14ac:dyDescent="0.3">
      <c r="A79" s="111">
        <f t="shared" si="6"/>
        <v>65</v>
      </c>
      <c r="B79" s="51">
        <v>6</v>
      </c>
      <c r="C79" s="51">
        <v>6</v>
      </c>
      <c r="D79" s="19" t="s">
        <v>375</v>
      </c>
      <c r="E79" s="19" t="s">
        <v>59</v>
      </c>
      <c r="F79" s="4" t="s">
        <v>60</v>
      </c>
      <c r="G79" s="19">
        <v>2024</v>
      </c>
      <c r="H79" s="19" t="s">
        <v>100</v>
      </c>
      <c r="I79" s="102" t="s">
        <v>307</v>
      </c>
      <c r="J79" s="125" t="s">
        <v>399</v>
      </c>
      <c r="K79" s="3" t="s">
        <v>328</v>
      </c>
      <c r="L79" s="19"/>
      <c r="M79" s="19" t="s">
        <v>95</v>
      </c>
      <c r="N79" s="133"/>
      <c r="O79" s="15"/>
      <c r="P79" s="5"/>
      <c r="Q79" s="219"/>
      <c r="R79" s="5"/>
      <c r="S79" s="5"/>
      <c r="T79" s="16"/>
      <c r="U79" s="5"/>
      <c r="V79" s="15"/>
      <c r="W79" s="12"/>
      <c r="X79" s="12"/>
      <c r="Y79" s="60"/>
    </row>
    <row r="80" spans="1:25" s="2" customFormat="1" ht="36" x14ac:dyDescent="0.3">
      <c r="A80" s="111">
        <f t="shared" si="6"/>
        <v>66</v>
      </c>
      <c r="B80" s="51">
        <v>7</v>
      </c>
      <c r="C80" s="51">
        <v>7</v>
      </c>
      <c r="D80" s="19" t="s">
        <v>155</v>
      </c>
      <c r="E80" s="19">
        <v>6152062</v>
      </c>
      <c r="F80" s="4" t="s">
        <v>153</v>
      </c>
      <c r="G80" s="19">
        <v>2019</v>
      </c>
      <c r="H80" s="19" t="s">
        <v>102</v>
      </c>
      <c r="I80" s="27" t="s">
        <v>154</v>
      </c>
      <c r="J80" s="125" t="s">
        <v>156</v>
      </c>
      <c r="K80" s="3" t="s">
        <v>325</v>
      </c>
      <c r="L80" s="353">
        <v>45905</v>
      </c>
      <c r="M80" s="19" t="s">
        <v>95</v>
      </c>
      <c r="N80" s="133"/>
      <c r="O80" s="15"/>
      <c r="P80" s="197" t="s">
        <v>413</v>
      </c>
      <c r="Q80" s="197" t="s">
        <v>413</v>
      </c>
      <c r="R80" s="5"/>
      <c r="S80" s="5"/>
      <c r="T80" s="16"/>
      <c r="U80" s="5"/>
      <c r="V80" s="15"/>
      <c r="W80" s="12"/>
      <c r="X80" s="12"/>
      <c r="Y80" s="60"/>
    </row>
    <row r="81" spans="1:25" s="2" customFormat="1" x14ac:dyDescent="0.3">
      <c r="A81" s="111">
        <f t="shared" si="6"/>
        <v>67</v>
      </c>
      <c r="B81" s="51">
        <v>8</v>
      </c>
      <c r="C81" s="51">
        <v>8</v>
      </c>
      <c r="D81" s="19" t="s">
        <v>141</v>
      </c>
      <c r="E81" s="197" t="s">
        <v>75</v>
      </c>
      <c r="F81" s="4" t="s">
        <v>76</v>
      </c>
      <c r="G81" s="19">
        <v>2005</v>
      </c>
      <c r="H81" s="19"/>
      <c r="I81" s="102" t="s">
        <v>292</v>
      </c>
      <c r="J81" s="203" t="s">
        <v>124</v>
      </c>
      <c r="K81" s="3"/>
      <c r="L81" s="19"/>
      <c r="M81" s="19" t="s">
        <v>95</v>
      </c>
      <c r="N81" s="136"/>
      <c r="O81" s="25" t="s">
        <v>396</v>
      </c>
      <c r="P81" s="3" t="s">
        <v>413</v>
      </c>
      <c r="Q81" s="3"/>
      <c r="R81" s="3"/>
      <c r="S81" s="3"/>
      <c r="T81" s="21"/>
      <c r="U81" s="3"/>
      <c r="V81" s="17"/>
      <c r="W81" s="17"/>
      <c r="X81" s="22"/>
      <c r="Y81" s="60"/>
    </row>
    <row r="82" spans="1:25" s="2" customFormat="1" ht="24.6" thickBot="1" x14ac:dyDescent="0.35">
      <c r="A82" s="111">
        <f t="shared" si="6"/>
        <v>68</v>
      </c>
      <c r="B82" s="65">
        <v>9</v>
      </c>
      <c r="C82" s="65">
        <v>9</v>
      </c>
      <c r="D82" s="78" t="s">
        <v>142</v>
      </c>
      <c r="E82" s="142" t="s">
        <v>77</v>
      </c>
      <c r="F82" s="79" t="s">
        <v>78</v>
      </c>
      <c r="G82" s="19">
        <v>2010</v>
      </c>
      <c r="H82" s="82" t="s">
        <v>100</v>
      </c>
      <c r="I82" s="132" t="s">
        <v>302</v>
      </c>
      <c r="J82" s="127" t="s">
        <v>126</v>
      </c>
      <c r="K82" s="78" t="s">
        <v>327</v>
      </c>
      <c r="L82" s="350">
        <v>45905</v>
      </c>
      <c r="M82" s="82" t="s">
        <v>95</v>
      </c>
      <c r="N82" s="142"/>
      <c r="O82" s="92" t="s">
        <v>396</v>
      </c>
      <c r="P82" s="312" t="s">
        <v>413</v>
      </c>
      <c r="Q82" s="11" t="s">
        <v>413</v>
      </c>
      <c r="R82" s="78"/>
      <c r="S82" s="78"/>
      <c r="T82" s="84"/>
      <c r="U82" s="78"/>
      <c r="V82" s="80"/>
      <c r="W82" s="80"/>
      <c r="X82" s="85"/>
      <c r="Y82" s="123" t="s">
        <v>125</v>
      </c>
    </row>
    <row r="83" spans="1:25" s="2" customFormat="1" ht="16.8" thickBot="1" x14ac:dyDescent="0.4">
      <c r="A83" s="434" t="s">
        <v>376</v>
      </c>
      <c r="B83" s="435"/>
      <c r="C83" s="435"/>
      <c r="D83" s="435"/>
      <c r="E83" s="435"/>
      <c r="F83" s="435"/>
      <c r="G83" s="447"/>
      <c r="H83" s="443"/>
      <c r="I83" s="443"/>
      <c r="J83" s="443"/>
      <c r="K83" s="443"/>
      <c r="L83" s="443"/>
      <c r="M83" s="443"/>
      <c r="N83" s="443"/>
      <c r="O83" s="443"/>
      <c r="P83" s="443"/>
      <c r="Q83" s="443"/>
      <c r="R83" s="443"/>
      <c r="S83" s="443"/>
      <c r="T83" s="443"/>
      <c r="U83" s="443"/>
      <c r="V83" s="443"/>
      <c r="W83" s="443"/>
      <c r="X83" s="443"/>
      <c r="Y83" s="444"/>
    </row>
    <row r="84" spans="1:25" s="2" customFormat="1" ht="24" x14ac:dyDescent="0.3">
      <c r="A84" s="111">
        <v>69</v>
      </c>
      <c r="B84" s="51">
        <v>1</v>
      </c>
      <c r="C84" s="51">
        <v>1</v>
      </c>
      <c r="D84" s="19" t="s">
        <v>377</v>
      </c>
      <c r="E84" s="136" t="s">
        <v>163</v>
      </c>
      <c r="F84" s="45" t="s">
        <v>38</v>
      </c>
      <c r="G84" s="89">
        <v>2011</v>
      </c>
      <c r="H84" s="89" t="s">
        <v>101</v>
      </c>
      <c r="I84" s="117" t="s">
        <v>98</v>
      </c>
      <c r="J84" s="126" t="s">
        <v>97</v>
      </c>
      <c r="K84" s="19" t="s">
        <v>712</v>
      </c>
      <c r="L84" s="24">
        <v>46489</v>
      </c>
      <c r="M84" s="89" t="s">
        <v>95</v>
      </c>
      <c r="N84" s="138"/>
      <c r="O84" s="138" t="s">
        <v>397</v>
      </c>
      <c r="P84" s="308" t="s">
        <v>413</v>
      </c>
      <c r="Q84" s="197" t="s">
        <v>413</v>
      </c>
      <c r="R84" s="86"/>
      <c r="S84" s="86"/>
      <c r="T84" s="105"/>
      <c r="U84" s="29" t="s">
        <v>415</v>
      </c>
      <c r="V84" s="88"/>
      <c r="W84" s="88"/>
      <c r="X84" s="106"/>
      <c r="Y84" s="124" t="s">
        <v>331</v>
      </c>
    </row>
    <row r="85" spans="1:25" s="2" customFormat="1" ht="24" x14ac:dyDescent="0.3">
      <c r="A85" s="111">
        <v>70</v>
      </c>
      <c r="B85" s="51">
        <v>2</v>
      </c>
      <c r="C85" s="51">
        <v>2</v>
      </c>
      <c r="D85" s="19" t="s">
        <v>164</v>
      </c>
      <c r="E85" s="136" t="s">
        <v>162</v>
      </c>
      <c r="F85" s="45" t="s">
        <v>39</v>
      </c>
      <c r="G85" s="19">
        <v>2012</v>
      </c>
      <c r="H85" s="19" t="s">
        <v>101</v>
      </c>
      <c r="I85" s="27" t="s">
        <v>165</v>
      </c>
      <c r="J85" s="125" t="s">
        <v>166</v>
      </c>
      <c r="K85" s="19" t="s">
        <v>713</v>
      </c>
      <c r="L85" s="24">
        <v>46489</v>
      </c>
      <c r="M85" s="19" t="s">
        <v>95</v>
      </c>
      <c r="N85" s="136"/>
      <c r="O85" s="25"/>
      <c r="P85" s="3"/>
      <c r="Q85" s="3"/>
      <c r="R85" s="3"/>
      <c r="S85" s="3"/>
      <c r="T85" s="21"/>
      <c r="U85" s="29" t="s">
        <v>415</v>
      </c>
      <c r="V85" s="17"/>
      <c r="W85" s="17"/>
      <c r="X85" s="22"/>
      <c r="Y85" s="60"/>
    </row>
    <row r="86" spans="1:25" s="2" customFormat="1" ht="24.6" thickBot="1" x14ac:dyDescent="0.35">
      <c r="A86" s="113">
        <v>71</v>
      </c>
      <c r="B86" s="65">
        <v>3</v>
      </c>
      <c r="C86" s="65">
        <v>3</v>
      </c>
      <c r="D86" s="50" t="s">
        <v>111</v>
      </c>
      <c r="E86" s="142" t="s">
        <v>107</v>
      </c>
      <c r="F86" s="100" t="s">
        <v>106</v>
      </c>
      <c r="G86" s="82">
        <v>2008</v>
      </c>
      <c r="H86" s="82" t="s">
        <v>101</v>
      </c>
      <c r="I86" s="144" t="s">
        <v>110</v>
      </c>
      <c r="J86" s="127" t="s">
        <v>108</v>
      </c>
      <c r="K86" s="82" t="s">
        <v>419</v>
      </c>
      <c r="L86" s="350">
        <v>45700</v>
      </c>
      <c r="M86" s="82" t="s">
        <v>112</v>
      </c>
      <c r="N86" s="142"/>
      <c r="O86" s="145">
        <v>45779</v>
      </c>
      <c r="P86" s="78"/>
      <c r="Q86" s="78"/>
      <c r="R86" s="78"/>
      <c r="S86" s="78"/>
      <c r="T86" s="84"/>
      <c r="U86" s="29" t="s">
        <v>415</v>
      </c>
      <c r="V86" s="80"/>
      <c r="W86" s="80"/>
      <c r="X86" s="85"/>
      <c r="Y86" s="110"/>
    </row>
    <row r="87" spans="1:25" s="2" customFormat="1" ht="16.8" thickBot="1" x14ac:dyDescent="0.4">
      <c r="A87" s="434" t="s">
        <v>378</v>
      </c>
      <c r="B87" s="435"/>
      <c r="C87" s="435"/>
      <c r="D87" s="435"/>
      <c r="E87" s="435"/>
      <c r="F87" s="448"/>
      <c r="G87" s="442"/>
      <c r="H87" s="443"/>
      <c r="I87" s="443"/>
      <c r="J87" s="443"/>
      <c r="K87" s="443"/>
      <c r="L87" s="443"/>
      <c r="M87" s="443"/>
      <c r="N87" s="443"/>
      <c r="O87" s="443"/>
      <c r="P87" s="443"/>
      <c r="Q87" s="443"/>
      <c r="R87" s="443"/>
      <c r="S87" s="443"/>
      <c r="T87" s="443"/>
      <c r="U87" s="443"/>
      <c r="V87" s="443"/>
      <c r="W87" s="443"/>
      <c r="X87" s="443"/>
      <c r="Y87" s="444"/>
    </row>
    <row r="88" spans="1:25" s="2" customFormat="1" x14ac:dyDescent="0.3">
      <c r="A88" s="111">
        <v>72</v>
      </c>
      <c r="B88" s="385">
        <v>1</v>
      </c>
      <c r="C88" s="404">
        <v>1</v>
      </c>
      <c r="D88" s="386" t="s">
        <v>137</v>
      </c>
      <c r="E88" s="387" t="s">
        <v>80</v>
      </c>
      <c r="F88" s="57" t="s">
        <v>81</v>
      </c>
      <c r="G88" s="58">
        <v>2012</v>
      </c>
      <c r="H88" s="58" t="s">
        <v>101</v>
      </c>
      <c r="I88" s="149" t="s">
        <v>138</v>
      </c>
      <c r="J88" s="201" t="s">
        <v>136</v>
      </c>
      <c r="K88" s="58" t="s">
        <v>316</v>
      </c>
      <c r="L88" s="388">
        <v>45852</v>
      </c>
      <c r="M88" s="56" t="s">
        <v>317</v>
      </c>
      <c r="N88" s="389"/>
      <c r="O88" s="67"/>
      <c r="P88" s="55"/>
      <c r="Q88" s="55"/>
      <c r="R88" s="55"/>
      <c r="S88" s="55"/>
      <c r="T88" s="68"/>
      <c r="U88" s="55"/>
      <c r="V88" s="67"/>
      <c r="W88" s="70"/>
      <c r="X88" s="70"/>
      <c r="Y88" s="390"/>
    </row>
    <row r="89" spans="1:25" s="2" customFormat="1" ht="24" x14ac:dyDescent="0.3">
      <c r="A89" s="111">
        <f>A88+1</f>
        <v>73</v>
      </c>
      <c r="B89" s="385">
        <v>2</v>
      </c>
      <c r="C89" s="404">
        <v>2</v>
      </c>
      <c r="D89" s="114" t="s">
        <v>207</v>
      </c>
      <c r="E89" s="28" t="s">
        <v>206</v>
      </c>
      <c r="F89" s="45" t="s">
        <v>208</v>
      </c>
      <c r="G89" s="3">
        <v>2010</v>
      </c>
      <c r="H89" s="3" t="s">
        <v>101</v>
      </c>
      <c r="I89" s="102" t="s">
        <v>209</v>
      </c>
      <c r="J89" s="125" t="s">
        <v>210</v>
      </c>
      <c r="K89" s="3" t="s">
        <v>333</v>
      </c>
      <c r="L89" s="351">
        <v>45905</v>
      </c>
      <c r="M89" s="19" t="s">
        <v>95</v>
      </c>
      <c r="N89" s="133"/>
      <c r="O89" s="15"/>
      <c r="P89" s="11" t="s">
        <v>413</v>
      </c>
      <c r="Q89" s="197" t="s">
        <v>413</v>
      </c>
      <c r="R89" s="219"/>
      <c r="S89" s="219"/>
      <c r="T89" s="16"/>
      <c r="U89" s="219"/>
      <c r="V89" s="15"/>
      <c r="W89" s="12"/>
      <c r="X89" s="12"/>
      <c r="Y89" s="60"/>
    </row>
    <row r="90" spans="1:25" s="2" customFormat="1" ht="15" thickBot="1" x14ac:dyDescent="0.35">
      <c r="A90" s="111">
        <f>A89+1</f>
        <v>74</v>
      </c>
      <c r="B90" s="385">
        <v>4</v>
      </c>
      <c r="C90" s="403">
        <v>3</v>
      </c>
      <c r="D90" s="61" t="s">
        <v>380</v>
      </c>
      <c r="E90" s="397" t="s">
        <v>538</v>
      </c>
      <c r="F90" s="391" t="s">
        <v>382</v>
      </c>
      <c r="G90" s="62">
        <v>2018</v>
      </c>
      <c r="H90" s="62" t="s">
        <v>101</v>
      </c>
      <c r="I90" s="131" t="s">
        <v>384</v>
      </c>
      <c r="J90" s="392"/>
      <c r="K90" s="393"/>
      <c r="L90" s="394"/>
      <c r="M90" s="63" t="s">
        <v>379</v>
      </c>
      <c r="N90" s="395"/>
      <c r="O90" s="396"/>
      <c r="P90" s="397" t="s">
        <v>413</v>
      </c>
      <c r="Q90" s="398" t="s">
        <v>413</v>
      </c>
      <c r="R90" s="62"/>
      <c r="S90" s="62"/>
      <c r="T90" s="399"/>
      <c r="U90" s="62"/>
      <c r="V90" s="396"/>
      <c r="W90" s="393"/>
      <c r="X90" s="393"/>
      <c r="Y90" s="400"/>
    </row>
  </sheetData>
  <autoFilter ref="B1:X90" xr:uid="{00000000-0009-0000-0000-000000000000}"/>
  <mergeCells count="28">
    <mergeCell ref="G27:Y27"/>
    <mergeCell ref="G23:Y23"/>
    <mergeCell ref="G10:Y10"/>
    <mergeCell ref="G2:Y2"/>
    <mergeCell ref="G58:Y58"/>
    <mergeCell ref="G55:Y55"/>
    <mergeCell ref="G51:Y51"/>
    <mergeCell ref="G47:Y47"/>
    <mergeCell ref="G44:Y44"/>
    <mergeCell ref="G31:Y31"/>
    <mergeCell ref="G87:Y87"/>
    <mergeCell ref="G83:Y83"/>
    <mergeCell ref="G73:Y73"/>
    <mergeCell ref="A83:F83"/>
    <mergeCell ref="A87:F87"/>
    <mergeCell ref="G64:Y64"/>
    <mergeCell ref="A55:F55"/>
    <mergeCell ref="A58:F58"/>
    <mergeCell ref="A64:F64"/>
    <mergeCell ref="A73:F73"/>
    <mergeCell ref="A51:F51"/>
    <mergeCell ref="A10:F10"/>
    <mergeCell ref="A2:F2"/>
    <mergeCell ref="A23:F23"/>
    <mergeCell ref="A27:F27"/>
    <mergeCell ref="A31:F31"/>
    <mergeCell ref="A44:F44"/>
    <mergeCell ref="A47:F47"/>
  </mergeCells>
  <phoneticPr fontId="1" type="noConversion"/>
  <pageMargins left="0.11811023622047245" right="0.11811023622047245" top="0" bottom="0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F2794-D9F0-4094-A3C8-B1E202DE06BC}">
  <dimension ref="B1:D62"/>
  <sheetViews>
    <sheetView workbookViewId="0">
      <selection activeCell="B1" sqref="B1:D61"/>
    </sheetView>
  </sheetViews>
  <sheetFormatPr defaultRowHeight="14.4" x14ac:dyDescent="0.3"/>
  <cols>
    <col min="2" max="2" width="17.88671875" style="378" customWidth="1"/>
    <col min="3" max="3" width="40.44140625" style="378" hidden="1" customWidth="1"/>
    <col min="4" max="4" width="34.33203125" style="34" customWidth="1"/>
  </cols>
  <sheetData>
    <row r="1" spans="2:4" x14ac:dyDescent="0.3">
      <c r="B1" s="8" t="s">
        <v>0</v>
      </c>
      <c r="C1" s="8" t="s">
        <v>1</v>
      </c>
      <c r="D1" s="8" t="s">
        <v>135</v>
      </c>
    </row>
    <row r="2" spans="2:4" ht="15" thickBot="1" x14ac:dyDescent="0.35">
      <c r="B2"/>
      <c r="C2"/>
      <c r="D2"/>
    </row>
    <row r="3" spans="2:4" x14ac:dyDescent="0.3">
      <c r="B3" s="128" t="s">
        <v>351</v>
      </c>
      <c r="C3" s="56" t="s">
        <v>24</v>
      </c>
      <c r="D3" s="57" t="s">
        <v>25</v>
      </c>
    </row>
    <row r="4" spans="2:4" x14ac:dyDescent="0.3">
      <c r="B4" s="29" t="s">
        <v>211</v>
      </c>
      <c r="C4" s="29" t="s">
        <v>670</v>
      </c>
      <c r="D4" s="221" t="s">
        <v>669</v>
      </c>
    </row>
    <row r="5" spans="2:4" x14ac:dyDescent="0.3">
      <c r="B5" s="29" t="s">
        <v>350</v>
      </c>
      <c r="C5" s="19" t="s">
        <v>29</v>
      </c>
      <c r="D5" s="45" t="s">
        <v>30</v>
      </c>
    </row>
    <row r="6" spans="2:4" x14ac:dyDescent="0.3">
      <c r="B6" s="29" t="s">
        <v>212</v>
      </c>
      <c r="C6" s="19" t="s">
        <v>63</v>
      </c>
      <c r="D6" s="307" t="s">
        <v>344</v>
      </c>
    </row>
    <row r="7" spans="2:4" x14ac:dyDescent="0.3">
      <c r="B7" s="29" t="s">
        <v>353</v>
      </c>
      <c r="C7" s="19" t="s">
        <v>133</v>
      </c>
      <c r="D7" s="45" t="s">
        <v>23</v>
      </c>
    </row>
    <row r="8" spans="2:4" x14ac:dyDescent="0.3">
      <c r="B8" s="29" t="s">
        <v>338</v>
      </c>
      <c r="C8" s="19" t="s">
        <v>337</v>
      </c>
      <c r="D8" s="315" t="s">
        <v>336</v>
      </c>
    </row>
    <row r="9" spans="2:4" ht="15" thickBot="1" x14ac:dyDescent="0.35">
      <c r="B9"/>
      <c r="C9"/>
      <c r="D9"/>
    </row>
    <row r="10" spans="2:4" x14ac:dyDescent="0.3">
      <c r="B10" s="58" t="s">
        <v>189</v>
      </c>
      <c r="C10" s="56" t="s">
        <v>40</v>
      </c>
      <c r="D10" s="97" t="s">
        <v>188</v>
      </c>
    </row>
    <row r="11" spans="2:4" x14ac:dyDescent="0.3">
      <c r="B11" s="19" t="s">
        <v>284</v>
      </c>
      <c r="C11" s="19" t="s">
        <v>42</v>
      </c>
      <c r="D11" s="45" t="s">
        <v>286</v>
      </c>
    </row>
    <row r="12" spans="2:4" x14ac:dyDescent="0.3">
      <c r="B12" s="3" t="s">
        <v>183</v>
      </c>
      <c r="C12" s="19" t="s">
        <v>184</v>
      </c>
      <c r="D12" s="45" t="s">
        <v>620</v>
      </c>
    </row>
    <row r="13" spans="2:4" x14ac:dyDescent="0.3">
      <c r="B13" s="3" t="s">
        <v>332</v>
      </c>
      <c r="C13" s="19" t="s">
        <v>43</v>
      </c>
      <c r="D13" s="45" t="s">
        <v>114</v>
      </c>
    </row>
    <row r="14" spans="2:4" ht="24" x14ac:dyDescent="0.3">
      <c r="B14" s="29" t="s">
        <v>192</v>
      </c>
      <c r="C14" s="136" t="s">
        <v>193</v>
      </c>
      <c r="D14" s="45" t="s">
        <v>194</v>
      </c>
    </row>
    <row r="15" spans="2:4" x14ac:dyDescent="0.3">
      <c r="B15" s="219" t="s">
        <v>252</v>
      </c>
      <c r="C15" s="136" t="s">
        <v>253</v>
      </c>
      <c r="D15" s="45" t="s">
        <v>250</v>
      </c>
    </row>
    <row r="16" spans="2:4" x14ac:dyDescent="0.3">
      <c r="B16" s="219" t="s">
        <v>180</v>
      </c>
      <c r="C16" s="29" t="s">
        <v>41</v>
      </c>
      <c r="D16" s="223" t="s">
        <v>181</v>
      </c>
    </row>
    <row r="17" spans="2:4" x14ac:dyDescent="0.3">
      <c r="B17" s="3" t="s">
        <v>230</v>
      </c>
      <c r="C17" s="19" t="s">
        <v>229</v>
      </c>
      <c r="D17" s="315" t="s">
        <v>226</v>
      </c>
    </row>
    <row r="18" spans="2:4" x14ac:dyDescent="0.3">
      <c r="B18" s="219" t="s">
        <v>259</v>
      </c>
      <c r="C18" s="19" t="s">
        <v>19</v>
      </c>
      <c r="D18" s="45" t="s">
        <v>260</v>
      </c>
    </row>
    <row r="19" spans="2:4" ht="24" x14ac:dyDescent="0.3">
      <c r="B19" s="19" t="s">
        <v>234</v>
      </c>
      <c r="C19" s="19" t="s">
        <v>15</v>
      </c>
      <c r="D19" s="45" t="s">
        <v>233</v>
      </c>
    </row>
    <row r="20" spans="2:4" ht="24" x14ac:dyDescent="0.3">
      <c r="B20" s="19" t="s">
        <v>258</v>
      </c>
      <c r="C20" s="19" t="s">
        <v>16</v>
      </c>
      <c r="D20" s="45" t="s">
        <v>241</v>
      </c>
    </row>
    <row r="21" spans="2:4" ht="15" thickBot="1" x14ac:dyDescent="0.35">
      <c r="B21" s="71" t="s">
        <v>272</v>
      </c>
      <c r="C21" s="74" t="s">
        <v>17</v>
      </c>
      <c r="D21" s="99" t="s">
        <v>18</v>
      </c>
    </row>
    <row r="22" spans="2:4" x14ac:dyDescent="0.3">
      <c r="B22"/>
      <c r="C22"/>
      <c r="D22"/>
    </row>
    <row r="23" spans="2:4" x14ac:dyDescent="0.3">
      <c r="B23" s="86" t="s">
        <v>360</v>
      </c>
      <c r="C23" s="86" t="s">
        <v>44</v>
      </c>
      <c r="D23" s="101" t="s">
        <v>45</v>
      </c>
    </row>
    <row r="24" spans="2:4" x14ac:dyDescent="0.3">
      <c r="B24" s="3" t="s">
        <v>312</v>
      </c>
      <c r="C24" s="3" t="s">
        <v>21</v>
      </c>
      <c r="D24" s="45" t="s">
        <v>20</v>
      </c>
    </row>
    <row r="25" spans="2:4" x14ac:dyDescent="0.3">
      <c r="B25" s="78" t="s">
        <v>646</v>
      </c>
      <c r="C25" s="78" t="s">
        <v>340</v>
      </c>
      <c r="D25" s="100" t="s">
        <v>217</v>
      </c>
    </row>
    <row r="26" spans="2:4" x14ac:dyDescent="0.3">
      <c r="B26"/>
      <c r="C26"/>
      <c r="D26"/>
    </row>
    <row r="27" spans="2:4" ht="36" x14ac:dyDescent="0.3">
      <c r="B27" s="89" t="s">
        <v>319</v>
      </c>
      <c r="C27" s="138" t="s">
        <v>79</v>
      </c>
      <c r="D27" s="101" t="s">
        <v>541</v>
      </c>
    </row>
    <row r="28" spans="2:4" ht="24" x14ac:dyDescent="0.3">
      <c r="B28" s="19" t="s">
        <v>275</v>
      </c>
      <c r="C28" s="19" t="s">
        <v>341</v>
      </c>
      <c r="D28" s="45" t="s">
        <v>276</v>
      </c>
    </row>
    <row r="29" spans="2:4" ht="24" x14ac:dyDescent="0.3">
      <c r="B29" s="82" t="s">
        <v>93</v>
      </c>
      <c r="C29" s="82" t="s">
        <v>31</v>
      </c>
      <c r="D29" s="100" t="s">
        <v>92</v>
      </c>
    </row>
    <row r="30" spans="2:4" x14ac:dyDescent="0.3">
      <c r="B30"/>
      <c r="C30"/>
      <c r="D30"/>
    </row>
    <row r="31" spans="2:4" x14ac:dyDescent="0.3">
      <c r="B31" s="19" t="s">
        <v>225</v>
      </c>
      <c r="C31" s="3" t="s">
        <v>32</v>
      </c>
      <c r="D31" s="4" t="s">
        <v>33</v>
      </c>
    </row>
    <row r="32" spans="2:4" x14ac:dyDescent="0.3">
      <c r="B32" s="19" t="s">
        <v>214</v>
      </c>
      <c r="C32" s="3" t="s">
        <v>34</v>
      </c>
      <c r="D32" s="4" t="s">
        <v>33</v>
      </c>
    </row>
    <row r="33" spans="2:4" x14ac:dyDescent="0.3">
      <c r="B33" s="19" t="s">
        <v>131</v>
      </c>
      <c r="C33" s="316" t="s">
        <v>35</v>
      </c>
      <c r="D33" s="4" t="s">
        <v>36</v>
      </c>
    </row>
    <row r="34" spans="2:4" x14ac:dyDescent="0.3">
      <c r="B34" s="19" t="s">
        <v>223</v>
      </c>
      <c r="C34" s="316" t="s">
        <v>37</v>
      </c>
      <c r="D34" s="4" t="s">
        <v>36</v>
      </c>
    </row>
    <row r="35" spans="2:4" x14ac:dyDescent="0.3">
      <c r="B35" s="3" t="s">
        <v>220</v>
      </c>
      <c r="C35" s="316" t="s">
        <v>323</v>
      </c>
      <c r="D35" s="4" t="s">
        <v>219</v>
      </c>
    </row>
    <row r="36" spans="2:4" x14ac:dyDescent="0.3">
      <c r="B36" s="3" t="s">
        <v>177</v>
      </c>
      <c r="C36" s="316" t="s">
        <v>176</v>
      </c>
      <c r="D36" s="4" t="s">
        <v>175</v>
      </c>
    </row>
    <row r="37" spans="2:4" x14ac:dyDescent="0.3">
      <c r="B37" s="11" t="s">
        <v>146</v>
      </c>
      <c r="C37" s="316" t="s">
        <v>67</v>
      </c>
      <c r="D37" s="4" t="s">
        <v>68</v>
      </c>
    </row>
    <row r="38" spans="2:4" x14ac:dyDescent="0.3">
      <c r="B38" s="3" t="s">
        <v>201</v>
      </c>
      <c r="C38" s="316" t="s">
        <v>202</v>
      </c>
      <c r="D38" s="4" t="s">
        <v>175</v>
      </c>
    </row>
    <row r="39" spans="2:4" x14ac:dyDescent="0.3">
      <c r="B39" s="3" t="s">
        <v>204</v>
      </c>
      <c r="C39" s="316" t="s">
        <v>205</v>
      </c>
      <c r="D39" s="4" t="s">
        <v>175</v>
      </c>
    </row>
    <row r="40" spans="2:4" x14ac:dyDescent="0.3">
      <c r="B40" s="11" t="s">
        <v>498</v>
      </c>
      <c r="C40" s="3" t="s">
        <v>151</v>
      </c>
      <c r="D40" s="4" t="s">
        <v>150</v>
      </c>
    </row>
    <row r="41" spans="2:4" x14ac:dyDescent="0.3">
      <c r="B41" s="95"/>
      <c r="C41" s="95"/>
      <c r="D41" s="96"/>
    </row>
    <row r="42" spans="2:4" x14ac:dyDescent="0.3">
      <c r="B42"/>
      <c r="C42"/>
      <c r="D42"/>
    </row>
    <row r="43" spans="2:4" x14ac:dyDescent="0.3">
      <c r="B43" s="3" t="s">
        <v>385</v>
      </c>
      <c r="C43" s="3" t="s">
        <v>27</v>
      </c>
      <c r="D43" s="45" t="s">
        <v>28</v>
      </c>
    </row>
    <row r="44" spans="2:4" ht="24" x14ac:dyDescent="0.3">
      <c r="B44" s="19" t="s">
        <v>542</v>
      </c>
      <c r="C44" s="19" t="s">
        <v>73</v>
      </c>
      <c r="D44" s="194" t="s">
        <v>361</v>
      </c>
    </row>
    <row r="45" spans="2:4" x14ac:dyDescent="0.3">
      <c r="B45"/>
      <c r="C45"/>
      <c r="D45"/>
    </row>
    <row r="46" spans="2:4" ht="41.4" x14ac:dyDescent="0.3">
      <c r="B46" s="19" t="s">
        <v>329</v>
      </c>
      <c r="C46" s="19" t="s">
        <v>267</v>
      </c>
      <c r="D46" s="313" t="s">
        <v>266</v>
      </c>
    </row>
    <row r="47" spans="2:4" x14ac:dyDescent="0.3">
      <c r="B47" s="3" t="s">
        <v>264</v>
      </c>
      <c r="C47" s="78" t="s">
        <v>66</v>
      </c>
      <c r="D47" s="79" t="s">
        <v>391</v>
      </c>
    </row>
    <row r="48" spans="2:4" x14ac:dyDescent="0.3">
      <c r="B48" s="112"/>
      <c r="C48" s="3" t="s">
        <v>199</v>
      </c>
      <c r="D48" s="4" t="s">
        <v>198</v>
      </c>
    </row>
    <row r="49" spans="2:4" x14ac:dyDescent="0.3">
      <c r="B49"/>
      <c r="C49"/>
      <c r="D49"/>
    </row>
    <row r="50" spans="2:4" x14ac:dyDescent="0.3">
      <c r="B50" s="3" t="s">
        <v>364</v>
      </c>
      <c r="C50" s="19" t="s">
        <v>65</v>
      </c>
      <c r="D50" s="4" t="s">
        <v>89</v>
      </c>
    </row>
    <row r="51" spans="2:4" x14ac:dyDescent="0.3">
      <c r="B51" s="3" t="s">
        <v>310</v>
      </c>
      <c r="C51" s="29" t="s">
        <v>88</v>
      </c>
      <c r="D51" s="4" t="s">
        <v>89</v>
      </c>
    </row>
    <row r="52" spans="2:4" ht="24" x14ac:dyDescent="0.3">
      <c r="B52" s="82" t="s">
        <v>293</v>
      </c>
      <c r="C52" s="142" t="s">
        <v>342</v>
      </c>
      <c r="D52" s="79" t="s">
        <v>82</v>
      </c>
    </row>
    <row r="53" spans="2:4" x14ac:dyDescent="0.3">
      <c r="B53"/>
      <c r="C53"/>
      <c r="D53"/>
    </row>
    <row r="54" spans="2:4" x14ac:dyDescent="0.3">
      <c r="B54" s="86" t="s">
        <v>170</v>
      </c>
      <c r="C54" s="86" t="s">
        <v>168</v>
      </c>
      <c r="D54" s="104" t="s">
        <v>169</v>
      </c>
    </row>
    <row r="55" spans="2:4" x14ac:dyDescent="0.3">
      <c r="B55" s="78" t="s">
        <v>281</v>
      </c>
      <c r="C55" s="78" t="s">
        <v>61</v>
      </c>
      <c r="D55" s="79" t="s">
        <v>62</v>
      </c>
    </row>
    <row r="56" spans="2:4" x14ac:dyDescent="0.3">
      <c r="B56"/>
      <c r="C56"/>
      <c r="D56"/>
    </row>
    <row r="57" spans="2:4" x14ac:dyDescent="0.3">
      <c r="B57" s="3" t="s">
        <v>243</v>
      </c>
      <c r="C57" s="317" t="s">
        <v>244</v>
      </c>
      <c r="D57" s="381" t="s">
        <v>85</v>
      </c>
    </row>
    <row r="58" spans="2:4" x14ac:dyDescent="0.3">
      <c r="B58" s="29" t="s">
        <v>677</v>
      </c>
      <c r="C58" s="380" t="s">
        <v>610</v>
      </c>
      <c r="D58" s="323" t="s">
        <v>420</v>
      </c>
    </row>
    <row r="59" spans="2:4" x14ac:dyDescent="0.3">
      <c r="B59" s="3" t="s">
        <v>255</v>
      </c>
      <c r="C59" s="28" t="s">
        <v>86</v>
      </c>
      <c r="D59" s="4" t="s">
        <v>87</v>
      </c>
    </row>
    <row r="60" spans="2:4" x14ac:dyDescent="0.3">
      <c r="B60" s="3" t="s">
        <v>157</v>
      </c>
      <c r="C60" s="28" t="s">
        <v>158</v>
      </c>
      <c r="D60" s="4" t="s">
        <v>159</v>
      </c>
    </row>
    <row r="61" spans="2:4" ht="24" x14ac:dyDescent="0.3">
      <c r="B61" s="19" t="s">
        <v>119</v>
      </c>
      <c r="C61" s="19" t="s">
        <v>120</v>
      </c>
      <c r="D61" s="4" t="s">
        <v>64</v>
      </c>
    </row>
    <row r="62" spans="2:4" x14ac:dyDescent="0.3">
      <c r="B62"/>
      <c r="C62"/>
      <c r="D6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0DF61-9C2B-4839-AD8A-DFD4C6D92196}">
  <dimension ref="C3:E18"/>
  <sheetViews>
    <sheetView workbookViewId="0">
      <selection activeCell="C5" sqref="C5:E18"/>
    </sheetView>
  </sheetViews>
  <sheetFormatPr defaultRowHeight="14.4" x14ac:dyDescent="0.3"/>
  <cols>
    <col min="2" max="2" width="12.77734375" customWidth="1"/>
    <col min="3" max="3" width="8.88671875" style="170"/>
    <col min="4" max="4" width="28.5546875" style="170" customWidth="1"/>
    <col min="5" max="5" width="13.5546875" style="170" customWidth="1"/>
  </cols>
  <sheetData>
    <row r="3" spans="3:5" ht="13.8" customHeight="1" x14ac:dyDescent="0.3"/>
    <row r="4" spans="3:5" hidden="1" x14ac:dyDescent="0.3"/>
    <row r="5" spans="3:5" ht="15" customHeight="1" x14ac:dyDescent="0.3">
      <c r="C5" s="321" t="s">
        <v>624</v>
      </c>
      <c r="D5" s="187" t="s">
        <v>622</v>
      </c>
      <c r="E5" s="187" t="s">
        <v>623</v>
      </c>
    </row>
    <row r="6" spans="3:5" ht="15" customHeight="1" x14ac:dyDescent="0.3">
      <c r="C6" s="19">
        <v>1</v>
      </c>
      <c r="D6" s="194" t="s">
        <v>33</v>
      </c>
      <c r="E6" s="19" t="s">
        <v>225</v>
      </c>
    </row>
    <row r="7" spans="3:5" ht="15" customHeight="1" x14ac:dyDescent="0.3">
      <c r="C7" s="19">
        <f>C6+1</f>
        <v>2</v>
      </c>
      <c r="D7" s="194" t="s">
        <v>33</v>
      </c>
      <c r="E7" s="19" t="s">
        <v>214</v>
      </c>
    </row>
    <row r="8" spans="3:5" ht="15" customHeight="1" x14ac:dyDescent="0.3">
      <c r="C8" s="19">
        <f t="shared" ref="C8:C18" si="0">C7+1</f>
        <v>3</v>
      </c>
      <c r="D8" s="194" t="s">
        <v>36</v>
      </c>
      <c r="E8" s="19" t="s">
        <v>131</v>
      </c>
    </row>
    <row r="9" spans="3:5" ht="15" customHeight="1" x14ac:dyDescent="0.3">
      <c r="C9" s="19">
        <f t="shared" si="0"/>
        <v>4</v>
      </c>
      <c r="D9" s="194" t="s">
        <v>36</v>
      </c>
      <c r="E9" s="19" t="s">
        <v>223</v>
      </c>
    </row>
    <row r="10" spans="3:5" ht="15" customHeight="1" x14ac:dyDescent="0.3">
      <c r="C10" s="19">
        <f t="shared" si="0"/>
        <v>5</v>
      </c>
      <c r="D10" s="194" t="s">
        <v>219</v>
      </c>
      <c r="E10" s="19" t="s">
        <v>220</v>
      </c>
    </row>
    <row r="11" spans="3:5" ht="15" customHeight="1" x14ac:dyDescent="0.3">
      <c r="C11" s="19">
        <f t="shared" si="0"/>
        <v>6</v>
      </c>
      <c r="D11" s="194" t="s">
        <v>175</v>
      </c>
      <c r="E11" s="19" t="s">
        <v>177</v>
      </c>
    </row>
    <row r="12" spans="3:5" ht="15" customHeight="1" x14ac:dyDescent="0.3">
      <c r="C12" s="19">
        <f t="shared" si="0"/>
        <v>7</v>
      </c>
      <c r="D12" s="194" t="s">
        <v>68</v>
      </c>
      <c r="E12" s="19" t="s">
        <v>146</v>
      </c>
    </row>
    <row r="13" spans="3:5" ht="15" customHeight="1" x14ac:dyDescent="0.3">
      <c r="C13" s="19">
        <f t="shared" si="0"/>
        <v>8</v>
      </c>
      <c r="D13" s="194" t="s">
        <v>175</v>
      </c>
      <c r="E13" s="19" t="s">
        <v>201</v>
      </c>
    </row>
    <row r="14" spans="3:5" ht="15" customHeight="1" x14ac:dyDescent="0.3">
      <c r="C14" s="19">
        <f t="shared" si="0"/>
        <v>9</v>
      </c>
      <c r="D14" s="194" t="s">
        <v>175</v>
      </c>
      <c r="E14" s="19" t="s">
        <v>204</v>
      </c>
    </row>
    <row r="15" spans="3:5" ht="15" customHeight="1" x14ac:dyDescent="0.3">
      <c r="C15" s="19">
        <f t="shared" si="0"/>
        <v>10</v>
      </c>
      <c r="D15" s="194" t="s">
        <v>150</v>
      </c>
      <c r="E15" s="29" t="s">
        <v>498</v>
      </c>
    </row>
    <row r="16" spans="3:5" ht="15" customHeight="1" x14ac:dyDescent="0.3">
      <c r="C16" s="19">
        <f t="shared" si="0"/>
        <v>11</v>
      </c>
      <c r="D16" s="194" t="s">
        <v>36</v>
      </c>
      <c r="E16" s="320" t="s">
        <v>625</v>
      </c>
    </row>
    <row r="17" spans="3:5" ht="15" customHeight="1" x14ac:dyDescent="0.3">
      <c r="C17" s="19">
        <f t="shared" si="0"/>
        <v>12</v>
      </c>
      <c r="D17" s="194" t="s">
        <v>626</v>
      </c>
      <c r="E17" s="320" t="s">
        <v>628</v>
      </c>
    </row>
    <row r="18" spans="3:5" ht="15" customHeight="1" x14ac:dyDescent="0.3">
      <c r="C18" s="19">
        <f t="shared" si="0"/>
        <v>13</v>
      </c>
      <c r="D18" s="194" t="s">
        <v>627</v>
      </c>
      <c r="E18" s="320" t="s">
        <v>629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88083-7BC3-4F72-8FBA-379FDA43E0C4}">
  <dimension ref="A1:N73"/>
  <sheetViews>
    <sheetView topLeftCell="A55" workbookViewId="0">
      <selection activeCell="B58" sqref="B58"/>
    </sheetView>
  </sheetViews>
  <sheetFormatPr defaultRowHeight="14.4" x14ac:dyDescent="0.3"/>
  <cols>
    <col min="1" max="1" width="14.6640625" style="229" customWidth="1"/>
    <col min="2" max="2" width="37.5546875" style="229" customWidth="1"/>
    <col min="3" max="4" width="8" style="30" customWidth="1"/>
    <col min="5" max="6" width="8.88671875" customWidth="1"/>
    <col min="7" max="8" width="8.88671875" style="256" customWidth="1"/>
    <col min="9" max="10" width="8.88671875" style="354"/>
  </cols>
  <sheetData>
    <row r="1" spans="1:14" x14ac:dyDescent="0.3">
      <c r="C1" s="451">
        <v>45748</v>
      </c>
      <c r="D1" s="452"/>
      <c r="E1" s="453" t="s">
        <v>644</v>
      </c>
      <c r="F1" s="450"/>
      <c r="G1" s="454" t="s">
        <v>645</v>
      </c>
      <c r="H1" s="455"/>
      <c r="I1" s="449" t="s">
        <v>659</v>
      </c>
      <c r="J1" s="450"/>
      <c r="K1" s="449" t="s">
        <v>660</v>
      </c>
      <c r="L1" s="450"/>
      <c r="M1" s="449" t="s">
        <v>661</v>
      </c>
      <c r="N1" s="450"/>
    </row>
    <row r="2" spans="1:14" ht="15" thickBot="1" x14ac:dyDescent="0.35">
      <c r="C2" s="326" t="s">
        <v>640</v>
      </c>
      <c r="D2" s="30" t="s">
        <v>635</v>
      </c>
      <c r="E2" s="358" t="s">
        <v>640</v>
      </c>
      <c r="F2" s="359" t="s">
        <v>635</v>
      </c>
      <c r="G2" s="356" t="s">
        <v>640</v>
      </c>
      <c r="H2" s="363" t="s">
        <v>635</v>
      </c>
      <c r="I2" s="356" t="s">
        <v>640</v>
      </c>
      <c r="J2" s="357" t="s">
        <v>635</v>
      </c>
      <c r="K2" s="356" t="s">
        <v>640</v>
      </c>
      <c r="L2" s="357" t="s">
        <v>635</v>
      </c>
      <c r="M2" s="356" t="s">
        <v>640</v>
      </c>
      <c r="N2" s="357" t="s">
        <v>635</v>
      </c>
    </row>
    <row r="3" spans="1:14" x14ac:dyDescent="0.3">
      <c r="A3" s="230" t="s">
        <v>351</v>
      </c>
      <c r="B3" s="329" t="s">
        <v>25</v>
      </c>
      <c r="C3" s="327">
        <v>45371</v>
      </c>
      <c r="D3" s="328">
        <v>7.9</v>
      </c>
      <c r="E3" s="355">
        <v>46839</v>
      </c>
      <c r="F3" s="345">
        <v>7.95</v>
      </c>
      <c r="G3" s="347">
        <v>48097</v>
      </c>
      <c r="H3" s="360">
        <v>33.200000000000003</v>
      </c>
      <c r="I3" s="347">
        <v>48097</v>
      </c>
      <c r="J3" s="360">
        <v>33.200000000000003</v>
      </c>
      <c r="K3" s="372"/>
      <c r="L3" s="373"/>
      <c r="M3" s="372"/>
      <c r="N3" s="373"/>
    </row>
    <row r="4" spans="1:14" x14ac:dyDescent="0.3">
      <c r="A4" s="240"/>
      <c r="B4" s="330" t="s">
        <v>636</v>
      </c>
      <c r="C4" s="341">
        <v>56790</v>
      </c>
      <c r="D4" s="342">
        <v>47.37</v>
      </c>
      <c r="E4" s="341">
        <v>61048</v>
      </c>
      <c r="F4" s="346">
        <v>47.39</v>
      </c>
      <c r="G4" s="348">
        <v>63728</v>
      </c>
      <c r="H4" s="361">
        <v>47.39</v>
      </c>
      <c r="I4" s="348">
        <v>63728</v>
      </c>
      <c r="J4" s="361">
        <v>47.39</v>
      </c>
      <c r="K4" s="374"/>
      <c r="L4" s="375"/>
      <c r="M4" s="374"/>
      <c r="N4" s="375"/>
    </row>
    <row r="5" spans="1:14" x14ac:dyDescent="0.3">
      <c r="A5" s="231" t="s">
        <v>350</v>
      </c>
      <c r="B5" s="331" t="s">
        <v>30</v>
      </c>
      <c r="C5" s="341">
        <v>65795</v>
      </c>
      <c r="D5" s="342">
        <v>13.02</v>
      </c>
      <c r="E5" s="341">
        <v>70990</v>
      </c>
      <c r="F5" s="346">
        <v>12.55</v>
      </c>
      <c r="G5" s="348">
        <v>74020</v>
      </c>
      <c r="H5" s="361">
        <v>12.99</v>
      </c>
      <c r="I5" s="348">
        <v>74020</v>
      </c>
      <c r="J5" s="361">
        <v>12.99</v>
      </c>
      <c r="K5" s="374"/>
      <c r="L5" s="375"/>
      <c r="M5" s="374"/>
      <c r="N5" s="375"/>
    </row>
    <row r="6" spans="1:14" x14ac:dyDescent="0.3">
      <c r="A6" s="231">
        <v>777</v>
      </c>
      <c r="B6" s="332" t="s">
        <v>643</v>
      </c>
      <c r="C6" s="341">
        <v>67663</v>
      </c>
      <c r="D6" s="342">
        <v>11.03</v>
      </c>
      <c r="E6" s="341">
        <v>68995</v>
      </c>
      <c r="F6" s="346">
        <v>11.15</v>
      </c>
      <c r="G6" s="348">
        <v>70405</v>
      </c>
      <c r="H6" s="361">
        <v>11.15</v>
      </c>
      <c r="I6" s="348">
        <v>70405</v>
      </c>
      <c r="J6" s="361">
        <v>11.15</v>
      </c>
      <c r="K6" s="374"/>
      <c r="L6" s="375"/>
      <c r="M6" s="374"/>
      <c r="N6" s="375"/>
    </row>
    <row r="7" spans="1:14" ht="15" thickBot="1" x14ac:dyDescent="0.35">
      <c r="A7" s="241">
        <v>883</v>
      </c>
      <c r="B7" s="365" t="s">
        <v>642</v>
      </c>
      <c r="C7" s="341">
        <v>56672</v>
      </c>
      <c r="D7" s="342">
        <v>8.41</v>
      </c>
      <c r="E7" s="341">
        <v>58613</v>
      </c>
      <c r="F7" s="346">
        <v>9.84</v>
      </c>
      <c r="G7" s="348">
        <v>60469</v>
      </c>
      <c r="H7" s="361">
        <v>10.68</v>
      </c>
      <c r="I7" s="348">
        <v>60469</v>
      </c>
      <c r="J7" s="361">
        <v>10.68</v>
      </c>
      <c r="K7" s="374"/>
      <c r="L7" s="375"/>
      <c r="M7" s="374"/>
      <c r="N7" s="375"/>
    </row>
    <row r="8" spans="1:14" x14ac:dyDescent="0.3">
      <c r="A8" s="366" t="s">
        <v>212</v>
      </c>
      <c r="B8" s="367" t="s">
        <v>344</v>
      </c>
      <c r="C8" s="341">
        <v>55358</v>
      </c>
      <c r="D8" s="342">
        <v>16.61</v>
      </c>
      <c r="E8" s="341">
        <v>56643</v>
      </c>
      <c r="F8" s="346">
        <v>28.91</v>
      </c>
      <c r="G8" s="348">
        <v>57071</v>
      </c>
      <c r="H8" s="361">
        <v>18.329999999999998</v>
      </c>
      <c r="I8" s="348">
        <v>57071</v>
      </c>
      <c r="J8" s="361">
        <v>18.329999999999998</v>
      </c>
      <c r="K8" s="374"/>
      <c r="L8" s="364"/>
      <c r="M8" s="374"/>
      <c r="N8" s="364"/>
    </row>
    <row r="9" spans="1:14" x14ac:dyDescent="0.3">
      <c r="A9" s="368" t="s">
        <v>349</v>
      </c>
      <c r="B9" s="369" t="s">
        <v>22</v>
      </c>
      <c r="C9" s="341"/>
      <c r="D9" s="342"/>
      <c r="E9" s="341">
        <v>17280</v>
      </c>
      <c r="F9" s="346">
        <v>10</v>
      </c>
      <c r="G9" s="348">
        <v>24514</v>
      </c>
      <c r="H9" s="361">
        <v>11.34</v>
      </c>
      <c r="I9" s="348">
        <v>24514</v>
      </c>
      <c r="J9" s="361">
        <v>11.34</v>
      </c>
      <c r="K9" s="374"/>
      <c r="L9" s="375"/>
      <c r="M9" s="374"/>
      <c r="N9" s="375"/>
    </row>
    <row r="10" spans="1:14" x14ac:dyDescent="0.3">
      <c r="A10" s="368" t="s">
        <v>353</v>
      </c>
      <c r="B10" s="369" t="s">
        <v>23</v>
      </c>
      <c r="C10" s="341">
        <v>27388</v>
      </c>
      <c r="D10" s="342">
        <v>12.37</v>
      </c>
      <c r="E10" s="341">
        <v>29948</v>
      </c>
      <c r="F10" s="346">
        <v>12.64</v>
      </c>
      <c r="G10" s="348">
        <v>32506</v>
      </c>
      <c r="H10" s="361">
        <v>15.66</v>
      </c>
      <c r="I10" s="348">
        <v>32506</v>
      </c>
      <c r="J10" s="361">
        <v>15.66</v>
      </c>
      <c r="K10" s="374"/>
      <c r="L10" s="375"/>
      <c r="M10" s="374"/>
      <c r="N10" s="375"/>
    </row>
    <row r="11" spans="1:14" ht="15" thickBot="1" x14ac:dyDescent="0.35">
      <c r="A11" s="370" t="s">
        <v>338</v>
      </c>
      <c r="B11" s="371" t="s">
        <v>336</v>
      </c>
      <c r="C11" s="341">
        <v>352902</v>
      </c>
      <c r="D11" s="342">
        <v>12.6</v>
      </c>
      <c r="E11" s="341">
        <v>356900</v>
      </c>
      <c r="F11" s="346">
        <v>6.33</v>
      </c>
      <c r="G11" s="348"/>
      <c r="H11" s="361"/>
      <c r="I11" s="374"/>
      <c r="J11" s="375"/>
      <c r="K11" s="374"/>
      <c r="L11" s="375"/>
      <c r="M11" s="374"/>
      <c r="N11" s="375"/>
    </row>
    <row r="12" spans="1:14" x14ac:dyDescent="0.3">
      <c r="A12" s="235" t="s">
        <v>189</v>
      </c>
      <c r="B12" s="334" t="s">
        <v>188</v>
      </c>
      <c r="C12" s="341"/>
      <c r="D12" s="342"/>
      <c r="E12" s="341">
        <v>166630</v>
      </c>
      <c r="F12" s="346">
        <v>74.69</v>
      </c>
      <c r="G12" s="348">
        <v>169209</v>
      </c>
      <c r="H12" s="361">
        <v>22.11</v>
      </c>
      <c r="I12" s="374">
        <v>170649</v>
      </c>
      <c r="J12" s="375">
        <v>5.1100000000000003</v>
      </c>
      <c r="K12" s="374"/>
      <c r="L12" s="375"/>
      <c r="M12" s="374"/>
      <c r="N12" s="375"/>
    </row>
    <row r="13" spans="1:14" x14ac:dyDescent="0.3">
      <c r="A13" s="236" t="s">
        <v>284</v>
      </c>
      <c r="B13" s="331" t="s">
        <v>286</v>
      </c>
      <c r="C13" s="341">
        <v>241170</v>
      </c>
      <c r="D13" s="342">
        <v>33.299999999999997</v>
      </c>
      <c r="E13" s="341">
        <v>242530</v>
      </c>
      <c r="F13" s="346">
        <v>27.43</v>
      </c>
      <c r="G13" s="348">
        <v>243519</v>
      </c>
      <c r="H13" s="361">
        <v>10.08</v>
      </c>
      <c r="I13" s="374">
        <v>244209</v>
      </c>
      <c r="J13" s="375">
        <v>15.58</v>
      </c>
      <c r="K13" s="374"/>
      <c r="L13" s="375"/>
      <c r="M13" s="374"/>
      <c r="N13" s="375"/>
    </row>
    <row r="14" spans="1:14" x14ac:dyDescent="0.3">
      <c r="A14" s="236" t="s">
        <v>183</v>
      </c>
      <c r="B14" s="331" t="s">
        <v>185</v>
      </c>
      <c r="C14" s="341">
        <v>131961</v>
      </c>
      <c r="D14" s="342">
        <v>28.3</v>
      </c>
      <c r="E14" s="341">
        <v>134433</v>
      </c>
      <c r="F14" s="346">
        <v>28.01</v>
      </c>
      <c r="G14" s="348">
        <v>135028</v>
      </c>
      <c r="H14" s="361">
        <v>18.760000000000002</v>
      </c>
      <c r="I14" s="374">
        <v>135520</v>
      </c>
      <c r="J14" s="375">
        <v>14.96</v>
      </c>
      <c r="K14" s="374"/>
      <c r="L14" s="375"/>
      <c r="M14" s="374"/>
      <c r="N14" s="375"/>
    </row>
    <row r="15" spans="1:14" x14ac:dyDescent="0.3">
      <c r="A15" s="236" t="s">
        <v>332</v>
      </c>
      <c r="B15" s="331" t="s">
        <v>114</v>
      </c>
      <c r="C15" s="341">
        <v>112129</v>
      </c>
      <c r="D15" s="342">
        <v>65.540000000000006</v>
      </c>
      <c r="E15" s="341">
        <v>114332</v>
      </c>
      <c r="F15" s="346">
        <v>5.61</v>
      </c>
      <c r="G15" s="348">
        <v>118492</v>
      </c>
      <c r="H15" s="361">
        <v>6.29</v>
      </c>
      <c r="I15" s="374">
        <v>120362</v>
      </c>
      <c r="J15" s="375">
        <v>17.420000000000002</v>
      </c>
      <c r="K15" s="374"/>
      <c r="L15" s="375"/>
      <c r="M15" s="374"/>
      <c r="N15" s="375"/>
    </row>
    <row r="16" spans="1:14" x14ac:dyDescent="0.3">
      <c r="A16" s="236" t="s">
        <v>192</v>
      </c>
      <c r="B16" s="331" t="s">
        <v>194</v>
      </c>
      <c r="C16" s="341"/>
      <c r="D16" s="342"/>
      <c r="E16" s="341">
        <v>146200</v>
      </c>
      <c r="F16" s="346">
        <v>17.54</v>
      </c>
      <c r="G16" s="348">
        <v>148797</v>
      </c>
      <c r="H16" s="361">
        <v>14.14</v>
      </c>
      <c r="I16" s="374">
        <v>151339</v>
      </c>
      <c r="J16" s="375">
        <v>8.94</v>
      </c>
      <c r="K16" s="374"/>
      <c r="L16" s="375"/>
      <c r="M16" s="374"/>
      <c r="N16" s="375"/>
    </row>
    <row r="17" spans="1:14" x14ac:dyDescent="0.3">
      <c r="A17" s="236" t="s">
        <v>252</v>
      </c>
      <c r="B17" s="331" t="s">
        <v>250</v>
      </c>
      <c r="C17" s="341"/>
      <c r="D17" s="342"/>
      <c r="E17" s="341"/>
      <c r="F17" s="346"/>
      <c r="G17" s="348"/>
      <c r="H17" s="361"/>
      <c r="I17" s="374"/>
      <c r="J17" s="375"/>
      <c r="K17" s="374"/>
      <c r="L17" s="375"/>
      <c r="M17" s="374"/>
      <c r="N17" s="375"/>
    </row>
    <row r="18" spans="1:14" x14ac:dyDescent="0.3">
      <c r="A18" s="236" t="s">
        <v>180</v>
      </c>
      <c r="B18" s="335" t="s">
        <v>181</v>
      </c>
      <c r="C18" s="341">
        <v>246820</v>
      </c>
      <c r="D18" s="342">
        <v>8</v>
      </c>
      <c r="E18" s="341">
        <v>247520</v>
      </c>
      <c r="F18" s="346">
        <v>54</v>
      </c>
      <c r="G18" s="348">
        <v>249289</v>
      </c>
      <c r="H18" s="361">
        <v>7.66</v>
      </c>
      <c r="I18" s="374">
        <v>249990</v>
      </c>
      <c r="J18" s="375">
        <v>17.510000000000002</v>
      </c>
      <c r="K18" s="374"/>
      <c r="L18" s="375"/>
      <c r="M18" s="374"/>
      <c r="N18" s="375"/>
    </row>
    <row r="19" spans="1:14" x14ac:dyDescent="0.3">
      <c r="A19" s="236" t="s">
        <v>230</v>
      </c>
      <c r="B19" s="333" t="s">
        <v>226</v>
      </c>
      <c r="C19" s="341"/>
      <c r="D19" s="342"/>
      <c r="E19" s="341"/>
      <c r="F19" s="346"/>
      <c r="G19" s="348"/>
      <c r="H19" s="361"/>
      <c r="I19" s="374"/>
      <c r="J19" s="375"/>
      <c r="K19" s="374"/>
      <c r="L19" s="375"/>
      <c r="M19" s="374"/>
      <c r="N19" s="375"/>
    </row>
    <row r="20" spans="1:14" x14ac:dyDescent="0.3">
      <c r="A20" s="236" t="s">
        <v>259</v>
      </c>
      <c r="B20" s="331" t="s">
        <v>260</v>
      </c>
      <c r="C20" s="341">
        <v>79772</v>
      </c>
      <c r="D20" s="342">
        <v>72</v>
      </c>
      <c r="E20" s="341"/>
      <c r="F20" s="346"/>
      <c r="G20" s="348">
        <v>82126</v>
      </c>
      <c r="H20" s="361">
        <v>8.42</v>
      </c>
      <c r="I20" s="374">
        <v>84004</v>
      </c>
      <c r="J20" s="375">
        <v>6.74</v>
      </c>
      <c r="K20" s="374"/>
      <c r="L20" s="375"/>
      <c r="M20" s="374"/>
      <c r="N20" s="375"/>
    </row>
    <row r="21" spans="1:14" x14ac:dyDescent="0.3">
      <c r="A21" s="231" t="s">
        <v>234</v>
      </c>
      <c r="B21" s="331" t="s">
        <v>233</v>
      </c>
      <c r="C21" s="341">
        <v>145402</v>
      </c>
      <c r="D21" s="342">
        <v>11.58</v>
      </c>
      <c r="E21" s="341"/>
      <c r="F21" s="346"/>
      <c r="G21" s="348">
        <v>147630</v>
      </c>
      <c r="H21" s="361">
        <v>26.5</v>
      </c>
      <c r="I21" s="374">
        <v>150900</v>
      </c>
      <c r="J21" s="375">
        <v>10.89</v>
      </c>
      <c r="K21" s="374"/>
      <c r="L21" s="375"/>
      <c r="M21" s="374"/>
      <c r="N21" s="375"/>
    </row>
    <row r="22" spans="1:14" ht="24" x14ac:dyDescent="0.3">
      <c r="A22" s="231" t="s">
        <v>258</v>
      </c>
      <c r="B22" s="331" t="s">
        <v>241</v>
      </c>
      <c r="C22" s="341">
        <v>58427</v>
      </c>
      <c r="D22" s="342">
        <v>19.8</v>
      </c>
      <c r="E22" s="341">
        <v>60611</v>
      </c>
      <c r="F22" s="346">
        <v>45.88</v>
      </c>
      <c r="G22" s="348">
        <v>63700</v>
      </c>
      <c r="H22" s="361">
        <v>51.31</v>
      </c>
      <c r="I22" s="374">
        <v>67682</v>
      </c>
      <c r="J22" s="375">
        <v>14.88</v>
      </c>
      <c r="K22" s="374"/>
      <c r="L22" s="375"/>
      <c r="M22" s="374"/>
      <c r="N22" s="375"/>
    </row>
    <row r="23" spans="1:14" ht="15" thickBot="1" x14ac:dyDescent="0.35">
      <c r="A23" s="237" t="s">
        <v>272</v>
      </c>
      <c r="B23" s="336" t="s">
        <v>18</v>
      </c>
      <c r="C23" s="341">
        <v>106468</v>
      </c>
      <c r="D23" s="342">
        <v>16.98</v>
      </c>
      <c r="E23" s="341">
        <v>109666</v>
      </c>
      <c r="F23" s="346">
        <v>7.29</v>
      </c>
      <c r="G23" s="348">
        <v>111803</v>
      </c>
      <c r="H23" s="361">
        <v>9.48</v>
      </c>
      <c r="I23" s="374">
        <v>113348</v>
      </c>
      <c r="J23" s="375">
        <v>8.6300000000000008</v>
      </c>
      <c r="K23" s="374"/>
      <c r="L23" s="375"/>
      <c r="M23" s="374"/>
      <c r="N23" s="375"/>
    </row>
    <row r="24" spans="1:14" x14ac:dyDescent="0.3">
      <c r="A24" s="238" t="s">
        <v>360</v>
      </c>
      <c r="B24" s="330" t="s">
        <v>45</v>
      </c>
      <c r="C24" s="341"/>
      <c r="D24" s="342"/>
      <c r="E24" s="341"/>
      <c r="F24" s="346"/>
      <c r="G24" s="348">
        <v>16126</v>
      </c>
      <c r="H24" s="361">
        <v>18.399999999999999</v>
      </c>
      <c r="I24" s="374">
        <v>23376</v>
      </c>
      <c r="J24" s="375">
        <v>14.26</v>
      </c>
      <c r="K24" s="374"/>
      <c r="L24" s="375"/>
      <c r="M24" s="374"/>
      <c r="N24" s="375"/>
    </row>
    <row r="25" spans="1:14" x14ac:dyDescent="0.3">
      <c r="A25" s="236" t="s">
        <v>312</v>
      </c>
      <c r="B25" s="331" t="s">
        <v>20</v>
      </c>
      <c r="C25" s="341"/>
      <c r="D25" s="342"/>
      <c r="E25" s="341">
        <v>85100</v>
      </c>
      <c r="F25" s="346">
        <v>15.89</v>
      </c>
      <c r="G25" s="348">
        <v>86946</v>
      </c>
      <c r="H25" s="361">
        <v>12.83</v>
      </c>
      <c r="I25" s="374">
        <v>88861</v>
      </c>
      <c r="J25" s="375">
        <v>12.18</v>
      </c>
      <c r="K25" s="374"/>
      <c r="L25" s="375"/>
      <c r="M25" s="374"/>
      <c r="N25" s="375"/>
    </row>
    <row r="26" spans="1:14" x14ac:dyDescent="0.3">
      <c r="A26" s="236" t="s">
        <v>216</v>
      </c>
      <c r="B26" s="331" t="s">
        <v>217</v>
      </c>
      <c r="C26" s="341"/>
      <c r="D26" s="342"/>
      <c r="E26" s="341">
        <v>186558</v>
      </c>
      <c r="F26" s="346">
        <v>20.7</v>
      </c>
      <c r="G26" s="348">
        <v>189213</v>
      </c>
      <c r="H26" s="361">
        <v>8.65</v>
      </c>
      <c r="I26" s="374">
        <v>190761</v>
      </c>
      <c r="J26" s="375">
        <v>15.37</v>
      </c>
      <c r="K26" s="374"/>
      <c r="L26" s="375"/>
      <c r="M26" s="374"/>
      <c r="N26" s="375"/>
    </row>
    <row r="27" spans="1:14" ht="24" x14ac:dyDescent="0.3">
      <c r="A27" s="240" t="s">
        <v>319</v>
      </c>
      <c r="B27" s="330" t="s">
        <v>320</v>
      </c>
      <c r="C27" s="341">
        <v>17311</v>
      </c>
      <c r="D27" s="342">
        <v>177.31</v>
      </c>
      <c r="E27" s="341">
        <v>20463</v>
      </c>
      <c r="F27" s="346">
        <v>21.91</v>
      </c>
      <c r="G27" s="348">
        <v>22750</v>
      </c>
      <c r="H27" s="361">
        <v>16.88</v>
      </c>
      <c r="I27" s="374">
        <v>26510</v>
      </c>
      <c r="J27" s="375">
        <v>17.100000000000001</v>
      </c>
      <c r="K27" s="374"/>
      <c r="L27" s="375"/>
      <c r="M27" s="374"/>
      <c r="N27" s="375"/>
    </row>
    <row r="28" spans="1:14" ht="24" x14ac:dyDescent="0.3">
      <c r="A28" s="231" t="s">
        <v>275</v>
      </c>
      <c r="B28" s="331" t="s">
        <v>276</v>
      </c>
      <c r="C28" s="341">
        <v>31736</v>
      </c>
      <c r="D28" s="342">
        <v>142.6</v>
      </c>
      <c r="E28" s="341">
        <v>31860</v>
      </c>
      <c r="F28" s="346">
        <v>160.4</v>
      </c>
      <c r="G28" s="348">
        <v>33735</v>
      </c>
      <c r="H28" s="361">
        <v>26.9</v>
      </c>
      <c r="I28" s="374">
        <v>35823</v>
      </c>
      <c r="J28" s="375">
        <v>19.5</v>
      </c>
      <c r="K28" s="374"/>
      <c r="L28" s="375"/>
      <c r="M28" s="374"/>
      <c r="N28" s="375"/>
    </row>
    <row r="29" spans="1:14" ht="24" x14ac:dyDescent="0.3">
      <c r="A29" s="241" t="s">
        <v>93</v>
      </c>
      <c r="B29" s="332" t="s">
        <v>92</v>
      </c>
      <c r="C29" s="341"/>
      <c r="D29" s="342"/>
      <c r="E29" s="341"/>
      <c r="F29" s="346"/>
      <c r="G29" s="348">
        <v>25985</v>
      </c>
      <c r="H29" s="361">
        <v>27.3</v>
      </c>
      <c r="I29" s="374">
        <v>26575</v>
      </c>
      <c r="J29" s="375">
        <v>21.1</v>
      </c>
      <c r="K29" s="374"/>
      <c r="L29" s="375"/>
      <c r="M29" s="374"/>
      <c r="N29" s="375"/>
    </row>
    <row r="30" spans="1:14" x14ac:dyDescent="0.3">
      <c r="A30" s="231" t="s">
        <v>225</v>
      </c>
      <c r="B30" s="337" t="s">
        <v>33</v>
      </c>
      <c r="C30" s="341">
        <v>128023</v>
      </c>
      <c r="D30" s="342">
        <v>130</v>
      </c>
      <c r="E30" s="341">
        <v>128180</v>
      </c>
      <c r="F30" s="346">
        <v>284.07</v>
      </c>
      <c r="G30" s="348"/>
      <c r="H30" s="361"/>
      <c r="I30" s="374"/>
      <c r="J30" s="375"/>
      <c r="K30" s="374"/>
      <c r="L30" s="375"/>
      <c r="M30" s="374">
        <v>129480</v>
      </c>
      <c r="N30" s="375">
        <v>19.07</v>
      </c>
    </row>
    <row r="31" spans="1:14" x14ac:dyDescent="0.3">
      <c r="A31" s="231" t="s">
        <v>214</v>
      </c>
      <c r="B31" s="337" t="s">
        <v>33</v>
      </c>
      <c r="C31" s="341"/>
      <c r="D31" s="342"/>
      <c r="E31" s="341">
        <v>113909</v>
      </c>
      <c r="F31" s="346">
        <v>50.99</v>
      </c>
      <c r="G31" s="348">
        <v>117920</v>
      </c>
      <c r="H31" s="361">
        <v>36.04</v>
      </c>
      <c r="I31" s="374">
        <v>122970</v>
      </c>
      <c r="J31" s="375">
        <v>59</v>
      </c>
      <c r="K31" s="374"/>
      <c r="L31" s="375"/>
      <c r="M31" s="374"/>
      <c r="N31" s="375"/>
    </row>
    <row r="32" spans="1:14" x14ac:dyDescent="0.3">
      <c r="A32" s="231" t="s">
        <v>131</v>
      </c>
      <c r="B32" s="337" t="s">
        <v>36</v>
      </c>
      <c r="C32" s="341">
        <v>124482</v>
      </c>
      <c r="D32" s="342">
        <v>37.1</v>
      </c>
      <c r="E32" s="341">
        <v>128181</v>
      </c>
      <c r="F32" s="346">
        <v>118.59</v>
      </c>
      <c r="G32" s="348">
        <v>161984</v>
      </c>
      <c r="H32" s="361">
        <v>37.19</v>
      </c>
      <c r="I32" s="374"/>
      <c r="J32" s="375"/>
      <c r="K32" s="374"/>
      <c r="L32" s="375"/>
      <c r="M32" s="374"/>
      <c r="N32" s="375"/>
    </row>
    <row r="33" spans="1:14" x14ac:dyDescent="0.3">
      <c r="A33" s="231" t="s">
        <v>223</v>
      </c>
      <c r="B33" s="337" t="s">
        <v>36</v>
      </c>
      <c r="C33" s="341">
        <v>144281</v>
      </c>
      <c r="D33" s="342">
        <v>341</v>
      </c>
      <c r="E33" s="341">
        <v>147742</v>
      </c>
      <c r="F33" s="346">
        <v>23.55</v>
      </c>
      <c r="G33" s="348">
        <v>152826</v>
      </c>
      <c r="H33" s="361">
        <v>35.75</v>
      </c>
      <c r="I33" s="374">
        <v>158576</v>
      </c>
      <c r="J33" s="375">
        <v>39.25</v>
      </c>
      <c r="K33" s="374"/>
      <c r="L33" s="375"/>
      <c r="M33" s="374"/>
      <c r="N33" s="375"/>
    </row>
    <row r="34" spans="1:14" x14ac:dyDescent="0.3">
      <c r="A34" s="236" t="s">
        <v>220</v>
      </c>
      <c r="B34" s="337" t="s">
        <v>219</v>
      </c>
      <c r="C34" s="341"/>
      <c r="D34" s="342"/>
      <c r="E34" s="341">
        <v>81608</v>
      </c>
      <c r="F34" s="346">
        <v>42.07</v>
      </c>
      <c r="G34" s="348">
        <v>86703</v>
      </c>
      <c r="H34" s="361">
        <v>41.62</v>
      </c>
      <c r="I34" s="374">
        <v>91455</v>
      </c>
      <c r="J34" s="375">
        <v>43.22</v>
      </c>
      <c r="K34" s="374"/>
      <c r="L34" s="375"/>
      <c r="M34" s="374"/>
      <c r="N34" s="375"/>
    </row>
    <row r="35" spans="1:14" x14ac:dyDescent="0.3">
      <c r="A35" s="236" t="s">
        <v>177</v>
      </c>
      <c r="B35" s="337" t="s">
        <v>175</v>
      </c>
      <c r="C35" s="341">
        <v>253909</v>
      </c>
      <c r="D35" s="342">
        <v>210</v>
      </c>
      <c r="E35" s="341">
        <v>25501</v>
      </c>
      <c r="F35" s="346">
        <v>25.56</v>
      </c>
      <c r="G35" s="348">
        <v>255447</v>
      </c>
      <c r="H35" s="361">
        <v>33.28</v>
      </c>
      <c r="I35" s="374">
        <v>258797</v>
      </c>
      <c r="J35" s="375">
        <v>58.59</v>
      </c>
      <c r="K35" s="374"/>
      <c r="L35" s="375"/>
      <c r="M35" s="374"/>
      <c r="N35" s="375"/>
    </row>
    <row r="36" spans="1:14" x14ac:dyDescent="0.3">
      <c r="A36" s="236" t="s">
        <v>146</v>
      </c>
      <c r="B36" s="337" t="s">
        <v>68</v>
      </c>
      <c r="C36" s="341"/>
      <c r="D36" s="342"/>
      <c r="E36" s="341">
        <v>112930</v>
      </c>
      <c r="F36" s="346">
        <v>53.78</v>
      </c>
      <c r="G36" s="348">
        <v>115162</v>
      </c>
      <c r="H36" s="361">
        <v>62.24</v>
      </c>
      <c r="I36" s="374">
        <v>120211</v>
      </c>
      <c r="J36" s="375">
        <v>40.31</v>
      </c>
      <c r="K36" s="374"/>
      <c r="L36" s="375"/>
      <c r="M36" s="374"/>
      <c r="N36" s="375"/>
    </row>
    <row r="37" spans="1:14" x14ac:dyDescent="0.3">
      <c r="A37" s="236" t="s">
        <v>201</v>
      </c>
      <c r="B37" s="337" t="s">
        <v>175</v>
      </c>
      <c r="C37" s="341">
        <v>244687</v>
      </c>
      <c r="D37" s="342">
        <v>210.02</v>
      </c>
      <c r="E37" s="341">
        <v>247739</v>
      </c>
      <c r="F37" s="346">
        <v>36.35</v>
      </c>
      <c r="G37" s="348">
        <v>251737</v>
      </c>
      <c r="H37" s="361">
        <v>9.6999999999999993</v>
      </c>
      <c r="I37" s="374">
        <v>286787</v>
      </c>
      <c r="J37" s="375">
        <v>59.63</v>
      </c>
      <c r="K37" s="374"/>
      <c r="L37" s="375"/>
      <c r="M37" s="374"/>
      <c r="N37" s="375"/>
    </row>
    <row r="38" spans="1:14" x14ac:dyDescent="0.3">
      <c r="A38" s="236" t="s">
        <v>204</v>
      </c>
      <c r="B38" s="337" t="s">
        <v>175</v>
      </c>
      <c r="C38" s="341">
        <v>253883</v>
      </c>
      <c r="D38" s="342">
        <v>420.13</v>
      </c>
      <c r="E38" s="341">
        <v>257413</v>
      </c>
      <c r="F38" s="346">
        <v>38.58</v>
      </c>
      <c r="G38" s="348">
        <v>261466</v>
      </c>
      <c r="H38" s="361">
        <v>102.94</v>
      </c>
      <c r="I38" s="374">
        <v>268446</v>
      </c>
      <c r="J38" s="375">
        <v>24.81</v>
      </c>
      <c r="K38" s="374"/>
      <c r="L38" s="375"/>
      <c r="M38" s="374"/>
      <c r="N38" s="375"/>
    </row>
    <row r="39" spans="1:14" x14ac:dyDescent="0.3">
      <c r="A39" s="236" t="s">
        <v>498</v>
      </c>
      <c r="B39" s="337" t="s">
        <v>150</v>
      </c>
      <c r="C39" s="341"/>
      <c r="D39" s="342"/>
      <c r="E39" s="341">
        <v>128967</v>
      </c>
      <c r="F39" s="346">
        <v>60.04</v>
      </c>
      <c r="G39" s="348">
        <v>134052</v>
      </c>
      <c r="H39" s="361">
        <v>30.76</v>
      </c>
      <c r="I39" s="374">
        <v>142002</v>
      </c>
      <c r="J39" s="375">
        <v>113.37</v>
      </c>
      <c r="K39" s="374"/>
      <c r="L39" s="375"/>
      <c r="M39" s="374"/>
      <c r="N39" s="375"/>
    </row>
    <row r="40" spans="1:14" x14ac:dyDescent="0.3">
      <c r="A40" s="236" t="s">
        <v>385</v>
      </c>
      <c r="B40" s="337" t="s">
        <v>28</v>
      </c>
      <c r="C40" s="341"/>
      <c r="D40" s="342"/>
      <c r="E40" s="341">
        <v>68544</v>
      </c>
      <c r="F40" s="346">
        <v>99.87</v>
      </c>
      <c r="G40" s="348">
        <v>76834</v>
      </c>
      <c r="H40" s="361">
        <v>36.020000000000003</v>
      </c>
      <c r="I40" s="374">
        <v>86534</v>
      </c>
      <c r="J40" s="375">
        <v>63.69</v>
      </c>
      <c r="K40" s="374"/>
      <c r="L40" s="375"/>
      <c r="M40" s="374"/>
      <c r="N40" s="375"/>
    </row>
    <row r="41" spans="1:14" ht="24" x14ac:dyDescent="0.3">
      <c r="A41" s="231" t="s">
        <v>74</v>
      </c>
      <c r="B41" s="338" t="s">
        <v>361</v>
      </c>
      <c r="C41" s="341">
        <v>635541</v>
      </c>
      <c r="D41" s="342">
        <v>130.06</v>
      </c>
      <c r="E41" s="341">
        <v>641408</v>
      </c>
      <c r="F41" s="346">
        <v>155.26</v>
      </c>
      <c r="G41" s="348">
        <v>648278</v>
      </c>
      <c r="H41" s="361">
        <v>40.72</v>
      </c>
      <c r="I41" s="374">
        <v>653728</v>
      </c>
      <c r="J41" s="375">
        <v>84.09</v>
      </c>
      <c r="K41" s="374"/>
      <c r="L41" s="375"/>
      <c r="M41" s="374"/>
      <c r="N41" s="375"/>
    </row>
    <row r="42" spans="1:14" x14ac:dyDescent="0.3">
      <c r="A42" s="236" t="s">
        <v>364</v>
      </c>
      <c r="B42" s="337" t="s">
        <v>89</v>
      </c>
      <c r="C42" s="341">
        <v>936.3</v>
      </c>
      <c r="D42" s="342">
        <v>30.2</v>
      </c>
      <c r="E42" s="341"/>
      <c r="F42" s="346"/>
      <c r="G42" s="348"/>
      <c r="H42" s="361"/>
      <c r="I42" s="374"/>
      <c r="J42" s="375"/>
      <c r="K42" s="374"/>
      <c r="L42" s="375"/>
      <c r="M42" s="374"/>
      <c r="N42" s="375"/>
    </row>
    <row r="43" spans="1:14" x14ac:dyDescent="0.3">
      <c r="A43" s="236" t="s">
        <v>310</v>
      </c>
      <c r="B43" s="337" t="s">
        <v>89</v>
      </c>
      <c r="C43" s="341">
        <v>1097</v>
      </c>
      <c r="D43" s="342">
        <v>102.83</v>
      </c>
      <c r="E43" s="341"/>
      <c r="F43" s="346"/>
      <c r="G43" s="348"/>
      <c r="H43" s="361"/>
      <c r="I43" s="374"/>
      <c r="J43" s="375"/>
      <c r="K43" s="374"/>
      <c r="L43" s="375"/>
      <c r="M43" s="374"/>
      <c r="N43" s="375"/>
    </row>
    <row r="44" spans="1:14" x14ac:dyDescent="0.3">
      <c r="A44" s="239" t="s">
        <v>293</v>
      </c>
      <c r="B44" s="339" t="s">
        <v>82</v>
      </c>
      <c r="C44" s="172"/>
      <c r="D44" s="342"/>
      <c r="E44" s="341">
        <v>2729.3</v>
      </c>
      <c r="F44" s="346">
        <v>8</v>
      </c>
      <c r="G44" s="348">
        <v>2818</v>
      </c>
      <c r="H44" s="361">
        <v>32.4</v>
      </c>
      <c r="I44" s="374">
        <v>2878.5</v>
      </c>
      <c r="J44" s="375">
        <v>8.4</v>
      </c>
      <c r="K44" s="374"/>
      <c r="L44" s="375"/>
      <c r="M44" s="374"/>
      <c r="N44" s="375"/>
    </row>
    <row r="45" spans="1:14" x14ac:dyDescent="0.3">
      <c r="A45" s="236" t="s">
        <v>170</v>
      </c>
      <c r="B45" s="337" t="s">
        <v>169</v>
      </c>
      <c r="C45" s="341"/>
      <c r="D45" s="342"/>
      <c r="E45" s="341">
        <v>8904.2999999999993</v>
      </c>
      <c r="F45" s="346">
        <v>8</v>
      </c>
      <c r="G45" s="348">
        <v>8956</v>
      </c>
      <c r="H45" s="361">
        <v>15.1</v>
      </c>
      <c r="I45" s="374">
        <v>9022.2999999999993</v>
      </c>
      <c r="J45" s="375">
        <v>7</v>
      </c>
      <c r="K45" s="374"/>
      <c r="L45" s="375"/>
      <c r="M45" s="374"/>
      <c r="N45" s="375"/>
    </row>
    <row r="46" spans="1:14" x14ac:dyDescent="0.3">
      <c r="A46" s="239" t="s">
        <v>281</v>
      </c>
      <c r="B46" s="339" t="s">
        <v>62</v>
      </c>
      <c r="C46" s="341">
        <v>2079.6999999999998</v>
      </c>
      <c r="D46" s="342">
        <v>21</v>
      </c>
      <c r="E46" s="341">
        <v>2141.6999999999998</v>
      </c>
      <c r="F46" s="346">
        <v>18</v>
      </c>
      <c r="G46" s="348">
        <v>2261</v>
      </c>
      <c r="H46" s="361">
        <v>10.31</v>
      </c>
      <c r="I46" s="374">
        <v>2328</v>
      </c>
      <c r="J46" s="375">
        <v>12.31</v>
      </c>
      <c r="K46" s="374"/>
      <c r="L46" s="375"/>
      <c r="M46" s="374"/>
      <c r="N46" s="375"/>
    </row>
    <row r="47" spans="1:14" x14ac:dyDescent="0.3">
      <c r="A47" s="239" t="s">
        <v>609</v>
      </c>
      <c r="B47" s="339" t="s">
        <v>420</v>
      </c>
      <c r="C47" s="341">
        <v>8200</v>
      </c>
      <c r="D47" s="342">
        <v>40</v>
      </c>
      <c r="E47" s="341">
        <v>8239.7999999999993</v>
      </c>
      <c r="F47" s="346">
        <v>42</v>
      </c>
      <c r="G47" s="348">
        <v>8248</v>
      </c>
      <c r="H47" s="361">
        <v>53</v>
      </c>
      <c r="I47" s="374"/>
      <c r="J47" s="375"/>
      <c r="K47" s="374"/>
      <c r="L47" s="375"/>
      <c r="M47" s="374"/>
      <c r="N47" s="375"/>
    </row>
    <row r="48" spans="1:14" x14ac:dyDescent="0.3">
      <c r="A48" s="236" t="s">
        <v>243</v>
      </c>
      <c r="B48" s="337" t="s">
        <v>85</v>
      </c>
      <c r="C48" s="341">
        <v>1032</v>
      </c>
      <c r="D48" s="342">
        <v>10</v>
      </c>
      <c r="E48" s="341">
        <v>1113.3</v>
      </c>
      <c r="F48" s="346">
        <v>19.690000000000001</v>
      </c>
      <c r="G48" s="348">
        <v>1231.4000000000001</v>
      </c>
      <c r="H48" s="361">
        <v>22.28</v>
      </c>
      <c r="I48" s="374">
        <v>1280.9000000000001</v>
      </c>
      <c r="J48" s="375">
        <v>13.26</v>
      </c>
      <c r="K48" s="374"/>
      <c r="L48" s="375"/>
      <c r="M48" s="374"/>
      <c r="N48" s="375"/>
    </row>
    <row r="49" spans="1:14" x14ac:dyDescent="0.3">
      <c r="A49" s="236" t="s">
        <v>255</v>
      </c>
      <c r="B49" s="337" t="s">
        <v>87</v>
      </c>
      <c r="C49" s="341">
        <v>8623.7999999999993</v>
      </c>
      <c r="D49" s="342">
        <v>42</v>
      </c>
      <c r="E49" s="341">
        <v>8693.2000000000007</v>
      </c>
      <c r="F49" s="346">
        <v>29</v>
      </c>
      <c r="G49" s="348">
        <v>8807</v>
      </c>
      <c r="H49" s="361">
        <v>18</v>
      </c>
      <c r="I49" s="374">
        <v>8893</v>
      </c>
      <c r="J49" s="375">
        <v>20</v>
      </c>
      <c r="K49" s="374"/>
      <c r="L49" s="375"/>
      <c r="M49" s="374"/>
      <c r="N49" s="375"/>
    </row>
    <row r="50" spans="1:14" x14ac:dyDescent="0.3">
      <c r="A50" s="236" t="s">
        <v>157</v>
      </c>
      <c r="B50" s="337" t="s">
        <v>159</v>
      </c>
      <c r="C50" s="341">
        <v>13430.6</v>
      </c>
      <c r="D50" s="342">
        <v>23.02</v>
      </c>
      <c r="E50" s="341">
        <v>13512</v>
      </c>
      <c r="F50" s="346">
        <v>1.0900000000000001</v>
      </c>
      <c r="G50" s="348">
        <v>13589.2</v>
      </c>
      <c r="H50" s="361">
        <v>11.5</v>
      </c>
      <c r="I50" s="374">
        <v>13660.7</v>
      </c>
      <c r="J50" s="375">
        <v>11.08</v>
      </c>
      <c r="K50" s="374"/>
      <c r="L50" s="375"/>
      <c r="M50" s="374"/>
      <c r="N50" s="375"/>
    </row>
    <row r="51" spans="1:14" x14ac:dyDescent="0.3">
      <c r="A51" s="231" t="s">
        <v>119</v>
      </c>
      <c r="B51" s="337" t="s">
        <v>641</v>
      </c>
      <c r="C51" s="341">
        <v>3592</v>
      </c>
      <c r="D51" s="342">
        <v>17</v>
      </c>
      <c r="E51" s="341">
        <v>3611.4</v>
      </c>
      <c r="F51" s="346">
        <v>5.8</v>
      </c>
      <c r="G51" s="348">
        <v>3627.8</v>
      </c>
      <c r="H51" s="361">
        <v>11.6</v>
      </c>
      <c r="I51" s="374">
        <v>3658</v>
      </c>
      <c r="J51" s="375">
        <v>8</v>
      </c>
      <c r="K51" s="374"/>
      <c r="L51" s="375"/>
      <c r="M51" s="374"/>
      <c r="N51" s="375"/>
    </row>
    <row r="52" spans="1:14" x14ac:dyDescent="0.3">
      <c r="A52" s="236" t="s">
        <v>143</v>
      </c>
      <c r="B52" s="337" t="s">
        <v>144</v>
      </c>
      <c r="C52" s="341">
        <v>1777.5</v>
      </c>
      <c r="D52" s="342">
        <v>21</v>
      </c>
      <c r="E52" s="341">
        <v>1882.1</v>
      </c>
      <c r="F52" s="346">
        <v>30.6</v>
      </c>
      <c r="G52" s="348">
        <v>2026.6</v>
      </c>
      <c r="H52" s="361">
        <v>14.6</v>
      </c>
      <c r="I52" s="374">
        <v>2161.6</v>
      </c>
      <c r="J52" s="375">
        <v>8.6</v>
      </c>
      <c r="K52" s="374"/>
      <c r="L52" s="375"/>
      <c r="M52" s="374"/>
      <c r="N52" s="375"/>
    </row>
    <row r="53" spans="1:14" x14ac:dyDescent="0.3">
      <c r="A53" s="236" t="s">
        <v>334</v>
      </c>
      <c r="B53" s="337" t="s">
        <v>48</v>
      </c>
      <c r="C53" s="341">
        <v>2921</v>
      </c>
      <c r="D53" s="342">
        <v>22.7</v>
      </c>
      <c r="E53" s="341">
        <v>3012.4</v>
      </c>
      <c r="F53" s="346">
        <v>7.7</v>
      </c>
      <c r="G53" s="348">
        <v>3087.6</v>
      </c>
      <c r="H53" s="361">
        <v>20.7</v>
      </c>
      <c r="I53" s="374">
        <v>3208.9</v>
      </c>
      <c r="J53" s="375">
        <v>14.2</v>
      </c>
      <c r="K53" s="374"/>
      <c r="L53" s="375"/>
      <c r="M53" s="374"/>
      <c r="N53" s="375"/>
    </row>
    <row r="54" spans="1:14" x14ac:dyDescent="0.3">
      <c r="A54" s="236" t="s">
        <v>370</v>
      </c>
      <c r="B54" s="337" t="s">
        <v>368</v>
      </c>
      <c r="C54" s="341"/>
      <c r="D54" s="342"/>
      <c r="E54" s="341">
        <v>1304</v>
      </c>
      <c r="F54" s="346">
        <v>16.399999999999999</v>
      </c>
      <c r="G54" s="348">
        <v>1430.4</v>
      </c>
      <c r="H54" s="361">
        <v>39.200000000000003</v>
      </c>
      <c r="I54" s="374">
        <v>1514.4</v>
      </c>
      <c r="J54" s="375">
        <v>12.2</v>
      </c>
      <c r="K54" s="374"/>
      <c r="L54" s="375"/>
      <c r="M54" s="374"/>
      <c r="N54" s="375"/>
    </row>
    <row r="55" spans="1:14" x14ac:dyDescent="0.3">
      <c r="A55" s="236" t="s">
        <v>371</v>
      </c>
      <c r="B55" s="337" t="s">
        <v>539</v>
      </c>
      <c r="C55" s="341">
        <v>1127</v>
      </c>
      <c r="D55" s="342">
        <v>22.09</v>
      </c>
      <c r="E55" s="341">
        <v>1194.8</v>
      </c>
      <c r="F55" s="346">
        <v>17.690000000000001</v>
      </c>
      <c r="G55" s="348">
        <v>1347.6</v>
      </c>
      <c r="H55" s="361">
        <v>28.29</v>
      </c>
      <c r="I55" s="374">
        <v>1492.6</v>
      </c>
      <c r="J55" s="375">
        <v>52.29</v>
      </c>
      <c r="K55" s="374"/>
      <c r="L55" s="375"/>
      <c r="M55" s="374"/>
      <c r="N55" s="375"/>
    </row>
    <row r="56" spans="1:14" x14ac:dyDescent="0.3">
      <c r="A56" s="236" t="s">
        <v>140</v>
      </c>
      <c r="B56" s="337" t="s">
        <v>84</v>
      </c>
      <c r="C56" s="341">
        <v>3382</v>
      </c>
      <c r="D56" s="342">
        <v>32.119999999999997</v>
      </c>
      <c r="E56" s="341">
        <v>3479.7</v>
      </c>
      <c r="F56" s="346">
        <v>10.52</v>
      </c>
      <c r="G56" s="348"/>
      <c r="H56" s="361"/>
      <c r="I56" s="374">
        <v>3684.7</v>
      </c>
      <c r="J56" s="375">
        <v>28.52</v>
      </c>
      <c r="K56" s="374"/>
      <c r="L56" s="375"/>
      <c r="M56" s="374"/>
      <c r="N56" s="375"/>
    </row>
    <row r="57" spans="1:14" x14ac:dyDescent="0.3">
      <c r="A57" s="236" t="s">
        <v>373</v>
      </c>
      <c r="B57" s="337" t="s">
        <v>72</v>
      </c>
      <c r="C57" s="341"/>
      <c r="D57" s="342"/>
      <c r="E57" s="341"/>
      <c r="F57" s="346"/>
      <c r="G57" s="348">
        <v>2958.8</v>
      </c>
      <c r="H57" s="361">
        <v>43.63</v>
      </c>
      <c r="I57" s="374">
        <v>3003.8</v>
      </c>
      <c r="J57" s="375">
        <v>49.63</v>
      </c>
      <c r="K57" s="374"/>
      <c r="L57" s="375"/>
      <c r="M57" s="374"/>
      <c r="N57" s="375"/>
    </row>
    <row r="58" spans="1:14" x14ac:dyDescent="0.3">
      <c r="A58" s="236" t="s">
        <v>540</v>
      </c>
      <c r="B58" s="337" t="s">
        <v>127</v>
      </c>
      <c r="C58" s="341"/>
      <c r="D58" s="342"/>
      <c r="E58" s="341">
        <v>3408</v>
      </c>
      <c r="F58" s="346">
        <v>68</v>
      </c>
      <c r="G58" s="348"/>
      <c r="H58" s="361"/>
      <c r="I58" s="374"/>
      <c r="J58" s="375"/>
      <c r="K58" s="374"/>
      <c r="L58" s="375"/>
      <c r="M58" s="374"/>
      <c r="N58" s="375"/>
    </row>
    <row r="59" spans="1:14" x14ac:dyDescent="0.3">
      <c r="A59" s="236" t="s">
        <v>335</v>
      </c>
      <c r="B59" s="337" t="s">
        <v>52</v>
      </c>
      <c r="C59" s="341"/>
      <c r="D59" s="342"/>
      <c r="E59" s="341">
        <v>275</v>
      </c>
      <c r="F59" s="346">
        <v>40</v>
      </c>
      <c r="G59" s="348">
        <v>296.5</v>
      </c>
      <c r="H59" s="361">
        <v>45</v>
      </c>
      <c r="I59" s="374">
        <v>362.5</v>
      </c>
      <c r="J59" s="375">
        <v>21</v>
      </c>
      <c r="K59" s="374"/>
      <c r="L59" s="375"/>
      <c r="M59" s="374"/>
      <c r="N59" s="375"/>
    </row>
    <row r="60" spans="1:14" x14ac:dyDescent="0.3">
      <c r="A60" s="236" t="s">
        <v>122</v>
      </c>
      <c r="B60" s="337" t="s">
        <v>269</v>
      </c>
      <c r="C60" s="341"/>
      <c r="D60" s="342"/>
      <c r="E60" s="341"/>
      <c r="F60" s="346"/>
      <c r="G60" s="348"/>
      <c r="H60" s="361"/>
      <c r="I60" s="374"/>
      <c r="J60" s="375"/>
      <c r="K60" s="374"/>
      <c r="L60" s="375"/>
      <c r="M60" s="374">
        <v>1257</v>
      </c>
      <c r="N60" s="375">
        <v>17</v>
      </c>
    </row>
    <row r="61" spans="1:14" x14ac:dyDescent="0.3">
      <c r="A61" s="236" t="s">
        <v>271</v>
      </c>
      <c r="B61" s="337" t="s">
        <v>269</v>
      </c>
      <c r="C61" s="343"/>
      <c r="D61" s="344"/>
      <c r="E61" s="341"/>
      <c r="F61" s="346"/>
      <c r="G61" s="348">
        <v>429.9</v>
      </c>
      <c r="H61" s="361">
        <v>19.600000000000001</v>
      </c>
      <c r="I61" s="374">
        <v>439.9</v>
      </c>
      <c r="J61" s="375">
        <v>6.6</v>
      </c>
      <c r="K61" s="374"/>
      <c r="L61" s="375"/>
      <c r="M61" s="374">
        <v>466</v>
      </c>
      <c r="N61" s="375">
        <v>8</v>
      </c>
    </row>
    <row r="62" spans="1:14" x14ac:dyDescent="0.3">
      <c r="A62" s="236" t="s">
        <v>496</v>
      </c>
      <c r="B62" s="337" t="s">
        <v>56</v>
      </c>
      <c r="C62" s="343"/>
      <c r="D62" s="344"/>
      <c r="E62" s="341">
        <v>9998</v>
      </c>
      <c r="F62" s="346">
        <v>12.2</v>
      </c>
      <c r="G62" s="348">
        <v>10139.4</v>
      </c>
      <c r="H62" s="361">
        <v>33.6</v>
      </c>
      <c r="I62" s="374">
        <v>10234.4</v>
      </c>
      <c r="J62" s="375">
        <v>29.6</v>
      </c>
      <c r="K62" s="374"/>
      <c r="L62" s="375"/>
      <c r="M62" s="374"/>
      <c r="N62" s="375"/>
    </row>
    <row r="63" spans="1:14" x14ac:dyDescent="0.3">
      <c r="A63" s="236" t="s">
        <v>374</v>
      </c>
      <c r="B63" s="337" t="s">
        <v>58</v>
      </c>
      <c r="C63" s="343"/>
      <c r="D63" s="344"/>
      <c r="E63" s="341">
        <v>650</v>
      </c>
      <c r="F63" s="346">
        <v>23.4</v>
      </c>
      <c r="G63" s="348">
        <v>757.5</v>
      </c>
      <c r="H63" s="361">
        <v>33.4</v>
      </c>
      <c r="I63" s="374">
        <v>828.2</v>
      </c>
      <c r="J63" s="375">
        <v>19.399999999999999</v>
      </c>
      <c r="K63" s="374"/>
      <c r="L63" s="375"/>
      <c r="M63" s="374"/>
      <c r="N63" s="375"/>
    </row>
    <row r="64" spans="1:14" x14ac:dyDescent="0.3">
      <c r="A64" s="236" t="s">
        <v>375</v>
      </c>
      <c r="B64" s="337" t="s">
        <v>60</v>
      </c>
      <c r="C64" s="343"/>
      <c r="D64" s="344"/>
      <c r="E64" s="341">
        <v>444</v>
      </c>
      <c r="F64" s="346">
        <v>24.4</v>
      </c>
      <c r="G64" s="348">
        <v>739.5</v>
      </c>
      <c r="H64" s="361">
        <v>16.399999999999999</v>
      </c>
      <c r="I64" s="374">
        <v>810</v>
      </c>
      <c r="J64" s="375">
        <v>14.4</v>
      </c>
      <c r="K64" s="374"/>
      <c r="L64" s="375"/>
      <c r="M64" s="374"/>
      <c r="N64" s="375"/>
    </row>
    <row r="65" spans="1:14" ht="24" x14ac:dyDescent="0.3">
      <c r="A65" s="236" t="s">
        <v>155</v>
      </c>
      <c r="B65" s="337" t="s">
        <v>153</v>
      </c>
      <c r="C65" s="343"/>
      <c r="D65" s="344"/>
      <c r="E65" s="341"/>
      <c r="F65" s="346"/>
      <c r="G65" s="348">
        <v>4107.3999999999996</v>
      </c>
      <c r="H65" s="361">
        <v>18</v>
      </c>
      <c r="I65" s="374">
        <v>4180.3999999999996</v>
      </c>
      <c r="J65" s="375">
        <v>6</v>
      </c>
      <c r="K65" s="374"/>
      <c r="L65" s="375"/>
      <c r="M65" s="374">
        <v>248</v>
      </c>
      <c r="N65" s="375">
        <v>4</v>
      </c>
    </row>
    <row r="66" spans="1:14" x14ac:dyDescent="0.3">
      <c r="A66" s="236" t="s">
        <v>141</v>
      </c>
      <c r="B66" s="337" t="s">
        <v>76</v>
      </c>
      <c r="C66" s="343"/>
      <c r="D66" s="344"/>
      <c r="E66" s="341">
        <v>13450</v>
      </c>
      <c r="F66" s="346">
        <v>15.6</v>
      </c>
      <c r="G66" s="348">
        <v>13532.5</v>
      </c>
      <c r="H66" s="361">
        <v>10.1</v>
      </c>
      <c r="I66" s="374">
        <v>13583.5</v>
      </c>
      <c r="J66" s="375">
        <v>14.1</v>
      </c>
      <c r="K66" s="374"/>
      <c r="L66" s="375"/>
      <c r="M66" s="374"/>
      <c r="N66" s="375"/>
    </row>
    <row r="67" spans="1:14" x14ac:dyDescent="0.3">
      <c r="A67" s="239" t="s">
        <v>142</v>
      </c>
      <c r="B67" s="339" t="s">
        <v>78</v>
      </c>
      <c r="C67" s="343"/>
      <c r="D67" s="344"/>
      <c r="E67" s="341">
        <v>9980</v>
      </c>
      <c r="F67" s="346">
        <v>3.4</v>
      </c>
      <c r="G67" s="348">
        <v>10093.200000000001</v>
      </c>
      <c r="H67" s="361">
        <v>30</v>
      </c>
      <c r="I67" s="374">
        <v>10224.200000000001</v>
      </c>
      <c r="J67" s="375">
        <v>22</v>
      </c>
      <c r="K67" s="374"/>
      <c r="L67" s="375"/>
      <c r="M67" s="374"/>
      <c r="N67" s="375"/>
    </row>
    <row r="68" spans="1:14" x14ac:dyDescent="0.3">
      <c r="A68" s="236" t="s">
        <v>377</v>
      </c>
      <c r="B68" s="331" t="s">
        <v>38</v>
      </c>
      <c r="C68" s="343"/>
      <c r="D68" s="344">
        <v>220</v>
      </c>
      <c r="E68" s="341">
        <v>2241</v>
      </c>
      <c r="F68" s="346">
        <v>53</v>
      </c>
      <c r="G68" s="348">
        <v>2409.4</v>
      </c>
      <c r="H68" s="361">
        <v>105</v>
      </c>
      <c r="I68" s="374">
        <v>2493.9</v>
      </c>
      <c r="J68" s="375">
        <v>38.5</v>
      </c>
      <c r="K68" s="374"/>
      <c r="L68" s="375"/>
      <c r="M68" s="374"/>
      <c r="N68" s="375"/>
    </row>
    <row r="69" spans="1:14" ht="14.4" customHeight="1" x14ac:dyDescent="0.3">
      <c r="A69" s="231" t="s">
        <v>164</v>
      </c>
      <c r="B69" s="331" t="s">
        <v>39</v>
      </c>
      <c r="C69" s="343"/>
      <c r="D69" s="344"/>
      <c r="E69" s="341">
        <v>3140</v>
      </c>
      <c r="F69" s="346">
        <v>83</v>
      </c>
      <c r="G69" s="348">
        <v>2970</v>
      </c>
      <c r="H69" s="361">
        <v>76</v>
      </c>
      <c r="I69" s="374">
        <v>3100</v>
      </c>
      <c r="J69" s="375">
        <v>129</v>
      </c>
      <c r="K69" s="374"/>
      <c r="L69" s="375"/>
      <c r="M69" s="374"/>
      <c r="N69" s="375"/>
    </row>
    <row r="70" spans="1:14" x14ac:dyDescent="0.3">
      <c r="A70" s="239" t="s">
        <v>111</v>
      </c>
      <c r="B70" s="332" t="s">
        <v>106</v>
      </c>
      <c r="C70" s="343"/>
      <c r="D70" s="344"/>
      <c r="E70" s="341"/>
      <c r="F70" s="346"/>
      <c r="G70" s="348"/>
      <c r="H70" s="361"/>
      <c r="I70" s="374"/>
      <c r="J70" s="375"/>
      <c r="K70" s="374"/>
      <c r="L70" s="375"/>
      <c r="M70" s="374"/>
      <c r="N70" s="375"/>
    </row>
    <row r="71" spans="1:14" x14ac:dyDescent="0.3">
      <c r="A71" s="236" t="s">
        <v>137</v>
      </c>
      <c r="B71" s="331" t="s">
        <v>81</v>
      </c>
      <c r="C71" s="343"/>
      <c r="D71" s="344"/>
      <c r="E71" s="341"/>
      <c r="F71" s="346"/>
      <c r="G71" s="348"/>
      <c r="H71" s="361"/>
      <c r="I71" s="374"/>
      <c r="J71" s="375"/>
      <c r="K71" s="374"/>
      <c r="L71" s="375"/>
      <c r="M71" s="374"/>
      <c r="N71" s="375"/>
    </row>
    <row r="72" spans="1:14" x14ac:dyDescent="0.3">
      <c r="A72" s="236" t="s">
        <v>207</v>
      </c>
      <c r="B72" s="331" t="s">
        <v>208</v>
      </c>
      <c r="C72" s="343"/>
      <c r="D72" s="344"/>
      <c r="E72" s="341"/>
      <c r="F72" s="346"/>
      <c r="G72" s="348">
        <v>11436.6</v>
      </c>
      <c r="H72" s="361">
        <v>195</v>
      </c>
      <c r="I72" s="374">
        <v>11641.5</v>
      </c>
      <c r="J72" s="375">
        <v>118.2</v>
      </c>
      <c r="K72" s="374"/>
      <c r="L72" s="375"/>
      <c r="M72" s="374"/>
      <c r="N72" s="375"/>
    </row>
    <row r="73" spans="1:14" ht="15" thickBot="1" x14ac:dyDescent="0.35">
      <c r="A73" s="236" t="s">
        <v>380</v>
      </c>
      <c r="B73" s="340" t="s">
        <v>382</v>
      </c>
      <c r="C73" s="343"/>
      <c r="D73" s="344"/>
      <c r="E73" s="341">
        <v>3700</v>
      </c>
      <c r="F73" s="346">
        <v>143</v>
      </c>
      <c r="G73" s="349">
        <v>3755.4</v>
      </c>
      <c r="H73" s="362">
        <v>184</v>
      </c>
      <c r="I73" s="376"/>
      <c r="J73" s="377"/>
      <c r="K73" s="376"/>
      <c r="L73" s="377"/>
      <c r="M73" s="376">
        <v>3820.4</v>
      </c>
      <c r="N73" s="377">
        <v>209</v>
      </c>
    </row>
  </sheetData>
  <mergeCells count="6">
    <mergeCell ref="M1:N1"/>
    <mergeCell ref="C1:D1"/>
    <mergeCell ref="E1:F1"/>
    <mergeCell ref="G1:H1"/>
    <mergeCell ref="I1:J1"/>
    <mergeCell ref="K1:L1"/>
  </mergeCells>
  <pageMargins left="0.31496062992125984" right="0.31496062992125984" top="0.74803149606299213" bottom="0.7480314960629921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837E0-B3F8-4DCE-856F-F9AC1DC8F380}">
  <dimension ref="B2:H82"/>
  <sheetViews>
    <sheetView workbookViewId="0">
      <selection activeCell="D6" sqref="D6:F6"/>
    </sheetView>
  </sheetViews>
  <sheetFormatPr defaultRowHeight="14.4" x14ac:dyDescent="0.3"/>
  <cols>
    <col min="4" max="4" width="22.33203125" customWidth="1"/>
    <col min="5" max="5" width="30.6640625" hidden="1" customWidth="1"/>
    <col min="6" max="6" width="34.44140625" customWidth="1"/>
    <col min="7" max="7" width="57.77734375" style="199" customWidth="1"/>
    <col min="8" max="8" width="13.77734375" style="199" customWidth="1"/>
  </cols>
  <sheetData>
    <row r="2" spans="2:8" ht="16.8" thickBot="1" x14ac:dyDescent="0.35">
      <c r="B2" s="436" t="s">
        <v>354</v>
      </c>
      <c r="C2" s="437"/>
      <c r="D2" s="437"/>
      <c r="E2" s="437"/>
      <c r="F2" s="437"/>
      <c r="H2" s="199" t="s">
        <v>501</v>
      </c>
    </row>
    <row r="3" spans="2:8" x14ac:dyDescent="0.3">
      <c r="B3" s="54">
        <v>12</v>
      </c>
      <c r="C3" s="55">
        <v>1</v>
      </c>
      <c r="D3" s="58" t="s">
        <v>189</v>
      </c>
      <c r="E3" s="56" t="s">
        <v>40</v>
      </c>
      <c r="F3" s="97" t="s">
        <v>188</v>
      </c>
      <c r="G3" s="199" t="s">
        <v>499</v>
      </c>
    </row>
    <row r="4" spans="2:8" x14ac:dyDescent="0.3">
      <c r="B4" s="59">
        <f>B3+1</f>
        <v>13</v>
      </c>
      <c r="C4" s="5">
        <v>2</v>
      </c>
      <c r="D4" s="19" t="s">
        <v>284</v>
      </c>
      <c r="E4" s="19" t="s">
        <v>42</v>
      </c>
      <c r="F4" s="45" t="s">
        <v>286</v>
      </c>
      <c r="G4" s="199" t="s">
        <v>500</v>
      </c>
      <c r="H4" s="199">
        <v>40796</v>
      </c>
    </row>
    <row r="5" spans="2:8" x14ac:dyDescent="0.3">
      <c r="B5" s="59">
        <f t="shared" ref="B5:B14" si="0">B4+1</f>
        <v>14</v>
      </c>
      <c r="C5" s="5">
        <v>3</v>
      </c>
      <c r="D5" s="19" t="s">
        <v>183</v>
      </c>
      <c r="E5" s="19" t="s">
        <v>184</v>
      </c>
      <c r="F5" s="45" t="s">
        <v>185</v>
      </c>
      <c r="G5" s="199" t="s">
        <v>499</v>
      </c>
      <c r="H5" s="199">
        <v>131197</v>
      </c>
    </row>
    <row r="6" spans="2:8" x14ac:dyDescent="0.3">
      <c r="B6" s="59">
        <f t="shared" si="0"/>
        <v>15</v>
      </c>
      <c r="C6" s="5">
        <v>4</v>
      </c>
      <c r="D6" s="19" t="s">
        <v>332</v>
      </c>
      <c r="E6" s="19" t="s">
        <v>43</v>
      </c>
      <c r="F6" s="45" t="s">
        <v>114</v>
      </c>
      <c r="G6" s="199" t="s">
        <v>499</v>
      </c>
      <c r="H6" s="199">
        <v>105446</v>
      </c>
    </row>
    <row r="7" spans="2:8" ht="24" x14ac:dyDescent="0.3">
      <c r="B7" s="59">
        <f t="shared" si="0"/>
        <v>16</v>
      </c>
      <c r="C7" s="5">
        <v>5</v>
      </c>
      <c r="D7" s="29" t="s">
        <v>192</v>
      </c>
      <c r="E7" s="136" t="s">
        <v>193</v>
      </c>
      <c r="F7" s="47" t="s">
        <v>194</v>
      </c>
    </row>
    <row r="8" spans="2:8" x14ac:dyDescent="0.3">
      <c r="B8" s="59">
        <f t="shared" si="0"/>
        <v>17</v>
      </c>
      <c r="C8" s="5">
        <v>6</v>
      </c>
      <c r="D8" s="29" t="s">
        <v>252</v>
      </c>
      <c r="E8" s="136" t="s">
        <v>253</v>
      </c>
      <c r="F8" s="47" t="s">
        <v>250</v>
      </c>
    </row>
    <row r="9" spans="2:8" x14ac:dyDescent="0.3">
      <c r="B9" s="59">
        <f t="shared" si="0"/>
        <v>18</v>
      </c>
      <c r="C9" s="5">
        <v>7</v>
      </c>
      <c r="D9" s="19" t="s">
        <v>180</v>
      </c>
      <c r="E9" s="19" t="s">
        <v>41</v>
      </c>
      <c r="F9" s="98" t="s">
        <v>181</v>
      </c>
      <c r="G9" s="199" t="s">
        <v>502</v>
      </c>
      <c r="H9" s="199">
        <v>234334</v>
      </c>
    </row>
    <row r="10" spans="2:8" x14ac:dyDescent="0.3">
      <c r="B10" s="59">
        <f t="shared" si="0"/>
        <v>19</v>
      </c>
      <c r="C10" s="5">
        <v>8</v>
      </c>
      <c r="D10" s="19" t="s">
        <v>230</v>
      </c>
      <c r="E10" s="19" t="s">
        <v>229</v>
      </c>
      <c r="F10" s="48" t="s">
        <v>226</v>
      </c>
      <c r="G10" s="199" t="s">
        <v>499</v>
      </c>
    </row>
    <row r="11" spans="2:8" x14ac:dyDescent="0.3">
      <c r="B11" s="59">
        <f t="shared" si="0"/>
        <v>20</v>
      </c>
      <c r="C11" s="5">
        <v>9</v>
      </c>
      <c r="D11" s="29" t="s">
        <v>259</v>
      </c>
      <c r="E11" s="19" t="s">
        <v>19</v>
      </c>
      <c r="F11" s="45" t="s">
        <v>260</v>
      </c>
      <c r="G11" s="199" t="s">
        <v>503</v>
      </c>
    </row>
    <row r="12" spans="2:8" ht="24" x14ac:dyDescent="0.3">
      <c r="B12" s="59">
        <f t="shared" si="0"/>
        <v>21</v>
      </c>
      <c r="C12" s="5">
        <v>10</v>
      </c>
      <c r="D12" s="19" t="s">
        <v>234</v>
      </c>
      <c r="E12" s="19" t="s">
        <v>15</v>
      </c>
      <c r="F12" s="45" t="s">
        <v>233</v>
      </c>
      <c r="G12" s="199" t="s">
        <v>499</v>
      </c>
      <c r="H12" s="199">
        <v>141971</v>
      </c>
    </row>
    <row r="13" spans="2:8" ht="24" x14ac:dyDescent="0.3">
      <c r="B13" s="59">
        <f t="shared" si="0"/>
        <v>22</v>
      </c>
      <c r="C13" s="5">
        <v>11</v>
      </c>
      <c r="D13" s="19" t="s">
        <v>258</v>
      </c>
      <c r="E13" s="19" t="s">
        <v>16</v>
      </c>
      <c r="F13" s="45" t="s">
        <v>241</v>
      </c>
      <c r="G13" s="199" t="s">
        <v>499</v>
      </c>
    </row>
    <row r="14" spans="2:8" ht="15" thickBot="1" x14ac:dyDescent="0.35">
      <c r="B14" s="61">
        <f t="shared" si="0"/>
        <v>23</v>
      </c>
      <c r="C14" s="62">
        <v>12</v>
      </c>
      <c r="D14" s="74" t="s">
        <v>272</v>
      </c>
      <c r="E14" s="74" t="s">
        <v>17</v>
      </c>
      <c r="F14" s="99" t="s">
        <v>18</v>
      </c>
      <c r="G14" s="199" t="s">
        <v>504</v>
      </c>
      <c r="H14" s="199">
        <v>91004</v>
      </c>
    </row>
    <row r="15" spans="2:8" ht="16.8" thickBot="1" x14ac:dyDescent="0.35">
      <c r="B15" s="440" t="s">
        <v>355</v>
      </c>
      <c r="C15" s="441"/>
      <c r="D15" s="441"/>
      <c r="E15" s="441"/>
      <c r="F15" s="441"/>
    </row>
    <row r="16" spans="2:8" x14ac:dyDescent="0.3">
      <c r="B16" s="111">
        <v>24</v>
      </c>
      <c r="C16" s="51">
        <v>1</v>
      </c>
      <c r="D16" s="86" t="s">
        <v>360</v>
      </c>
      <c r="E16" s="86" t="s">
        <v>44</v>
      </c>
      <c r="F16" s="101" t="s">
        <v>45</v>
      </c>
      <c r="G16" s="199" t="s">
        <v>505</v>
      </c>
    </row>
    <row r="17" spans="2:8" x14ac:dyDescent="0.3">
      <c r="B17" s="59">
        <v>25</v>
      </c>
      <c r="C17" s="5">
        <v>2</v>
      </c>
      <c r="D17" s="3" t="s">
        <v>312</v>
      </c>
      <c r="E17" s="3" t="s">
        <v>21</v>
      </c>
      <c r="F17" s="45" t="s">
        <v>20</v>
      </c>
      <c r="G17" s="199" t="s">
        <v>499</v>
      </c>
    </row>
    <row r="18" spans="2:8" ht="15" thickBot="1" x14ac:dyDescent="0.35">
      <c r="B18" s="109">
        <v>26</v>
      </c>
      <c r="C18" s="50">
        <v>3</v>
      </c>
      <c r="D18" s="78" t="s">
        <v>216</v>
      </c>
      <c r="E18" s="78" t="s">
        <v>340</v>
      </c>
      <c r="F18" s="100" t="s">
        <v>217</v>
      </c>
      <c r="G18" s="199" t="s">
        <v>499</v>
      </c>
      <c r="H18" s="199">
        <v>181215</v>
      </c>
    </row>
    <row r="19" spans="2:8" ht="16.8" thickBot="1" x14ac:dyDescent="0.35">
      <c r="B19" s="440" t="s">
        <v>356</v>
      </c>
      <c r="C19" s="441"/>
      <c r="D19" s="441"/>
      <c r="E19" s="441"/>
      <c r="F19" s="441"/>
    </row>
    <row r="20" spans="2:8" ht="41.4" x14ac:dyDescent="0.3">
      <c r="B20" s="111">
        <v>27</v>
      </c>
      <c r="C20" s="51">
        <v>1</v>
      </c>
      <c r="D20" s="86" t="s">
        <v>319</v>
      </c>
      <c r="E20" s="87" t="s">
        <v>79</v>
      </c>
      <c r="F20" s="101" t="s">
        <v>320</v>
      </c>
      <c r="G20" s="199" t="s">
        <v>506</v>
      </c>
    </row>
    <row r="21" spans="2:8" ht="24" x14ac:dyDescent="0.3">
      <c r="B21" s="59">
        <v>28</v>
      </c>
      <c r="C21" s="5">
        <v>2</v>
      </c>
      <c r="D21" s="3" t="s">
        <v>275</v>
      </c>
      <c r="E21" s="3" t="s">
        <v>341</v>
      </c>
      <c r="F21" s="45" t="s">
        <v>276</v>
      </c>
      <c r="G21" s="199" t="s">
        <v>499</v>
      </c>
      <c r="H21" s="199">
        <v>25325</v>
      </c>
    </row>
    <row r="22" spans="2:8" ht="24.6" thickBot="1" x14ac:dyDescent="0.35">
      <c r="B22" s="109">
        <v>29</v>
      </c>
      <c r="C22" s="50">
        <v>3</v>
      </c>
      <c r="D22" s="78" t="s">
        <v>93</v>
      </c>
      <c r="E22" s="78" t="s">
        <v>31</v>
      </c>
      <c r="F22" s="100" t="s">
        <v>92</v>
      </c>
      <c r="G22" s="199" t="s">
        <v>499</v>
      </c>
      <c r="H22" s="199">
        <v>30247</v>
      </c>
    </row>
    <row r="23" spans="2:8" ht="16.8" thickBot="1" x14ac:dyDescent="0.35">
      <c r="B23" s="440" t="s">
        <v>357</v>
      </c>
      <c r="C23" s="441"/>
      <c r="D23" s="441"/>
      <c r="E23" s="441"/>
      <c r="F23" s="441"/>
    </row>
    <row r="24" spans="2:8" x14ac:dyDescent="0.3">
      <c r="B24" s="111">
        <v>30</v>
      </c>
      <c r="C24" s="51">
        <v>1</v>
      </c>
      <c r="D24" s="19" t="s">
        <v>225</v>
      </c>
      <c r="E24" s="19" t="s">
        <v>32</v>
      </c>
      <c r="F24" s="4" t="s">
        <v>33</v>
      </c>
      <c r="G24" s="199" t="s">
        <v>511</v>
      </c>
    </row>
    <row r="25" spans="2:8" x14ac:dyDescent="0.3">
      <c r="B25" s="59">
        <f>B24+1</f>
        <v>31</v>
      </c>
      <c r="C25" s="5">
        <v>2</v>
      </c>
      <c r="D25" s="19" t="s">
        <v>214</v>
      </c>
      <c r="E25" s="19" t="s">
        <v>34</v>
      </c>
      <c r="F25" s="4" t="s">
        <v>33</v>
      </c>
      <c r="G25" s="199" t="s">
        <v>511</v>
      </c>
    </row>
    <row r="26" spans="2:8" ht="27.6" x14ac:dyDescent="0.3">
      <c r="B26" s="59">
        <f t="shared" ref="B26:B32" si="1">B25+1</f>
        <v>32</v>
      </c>
      <c r="C26" s="51">
        <v>3</v>
      </c>
      <c r="D26" s="19" t="s">
        <v>131</v>
      </c>
      <c r="E26" s="19" t="s">
        <v>35</v>
      </c>
      <c r="F26" s="4" t="s">
        <v>36</v>
      </c>
      <c r="G26" s="199" t="s">
        <v>512</v>
      </c>
    </row>
    <row r="27" spans="2:8" x14ac:dyDescent="0.3">
      <c r="B27" s="59">
        <f t="shared" si="1"/>
        <v>33</v>
      </c>
      <c r="C27" s="5">
        <v>4</v>
      </c>
      <c r="D27" s="19" t="s">
        <v>223</v>
      </c>
      <c r="E27" s="19" t="s">
        <v>37</v>
      </c>
      <c r="F27" s="4" t="s">
        <v>36</v>
      </c>
      <c r="G27" s="199" t="s">
        <v>511</v>
      </c>
    </row>
    <row r="28" spans="2:8" x14ac:dyDescent="0.3">
      <c r="B28" s="59">
        <f t="shared" si="1"/>
        <v>34</v>
      </c>
      <c r="C28" s="51">
        <v>5</v>
      </c>
      <c r="D28" s="3" t="s">
        <v>220</v>
      </c>
      <c r="E28" s="26" t="s">
        <v>323</v>
      </c>
      <c r="F28" s="6" t="s">
        <v>219</v>
      </c>
      <c r="G28" s="199" t="s">
        <v>510</v>
      </c>
      <c r="H28" s="199">
        <v>77852</v>
      </c>
    </row>
    <row r="29" spans="2:8" x14ac:dyDescent="0.3">
      <c r="B29" s="59">
        <f t="shared" si="1"/>
        <v>35</v>
      </c>
      <c r="C29" s="5">
        <v>6</v>
      </c>
      <c r="D29" s="3" t="s">
        <v>177</v>
      </c>
      <c r="E29" s="3" t="s">
        <v>176</v>
      </c>
      <c r="F29" s="4" t="s">
        <v>175</v>
      </c>
      <c r="G29" s="199" t="s">
        <v>508</v>
      </c>
      <c r="H29" s="199">
        <v>247526</v>
      </c>
    </row>
    <row r="30" spans="2:8" x14ac:dyDescent="0.3">
      <c r="B30" s="59">
        <f t="shared" si="1"/>
        <v>36</v>
      </c>
      <c r="C30" s="51">
        <v>7</v>
      </c>
      <c r="D30" s="3" t="s">
        <v>146</v>
      </c>
      <c r="E30" s="3" t="s">
        <v>67</v>
      </c>
      <c r="F30" s="4" t="s">
        <v>68</v>
      </c>
      <c r="G30" s="199" t="s">
        <v>513</v>
      </c>
    </row>
    <row r="31" spans="2:8" x14ac:dyDescent="0.3">
      <c r="B31" s="59">
        <f t="shared" si="1"/>
        <v>37</v>
      </c>
      <c r="C31" s="5">
        <v>8</v>
      </c>
      <c r="D31" s="3" t="s">
        <v>201</v>
      </c>
      <c r="E31" s="3" t="s">
        <v>202</v>
      </c>
      <c r="F31" s="6" t="s">
        <v>175</v>
      </c>
      <c r="G31" s="199" t="s">
        <v>507</v>
      </c>
      <c r="H31" s="199">
        <v>237268</v>
      </c>
    </row>
    <row r="32" spans="2:8" x14ac:dyDescent="0.3">
      <c r="B32" s="59">
        <f t="shared" si="1"/>
        <v>38</v>
      </c>
      <c r="C32" s="51">
        <v>9</v>
      </c>
      <c r="D32" s="3" t="s">
        <v>204</v>
      </c>
      <c r="E32" s="3" t="s">
        <v>205</v>
      </c>
      <c r="F32" s="6" t="s">
        <v>175</v>
      </c>
      <c r="G32" s="199" t="s">
        <v>509</v>
      </c>
      <c r="H32" s="199">
        <v>250963</v>
      </c>
    </row>
    <row r="33" spans="2:8" x14ac:dyDescent="0.3">
      <c r="B33" s="59"/>
      <c r="C33" s="5">
        <v>10</v>
      </c>
      <c r="D33" s="11" t="s">
        <v>498</v>
      </c>
      <c r="E33" s="3" t="s">
        <v>151</v>
      </c>
      <c r="F33" s="4" t="s">
        <v>150</v>
      </c>
      <c r="G33" s="199" t="s">
        <v>514</v>
      </c>
    </row>
    <row r="34" spans="2:8" x14ac:dyDescent="0.3">
      <c r="B34" s="59"/>
      <c r="C34" s="5">
        <v>11</v>
      </c>
      <c r="D34" s="39" t="s">
        <v>224</v>
      </c>
      <c r="E34" s="39" t="s">
        <v>49</v>
      </c>
      <c r="F34" s="93" t="s">
        <v>50</v>
      </c>
    </row>
    <row r="35" spans="2:8" ht="15" thickBot="1" x14ac:dyDescent="0.35">
      <c r="B35" s="109"/>
      <c r="C35" s="50">
        <v>12</v>
      </c>
      <c r="D35" s="95" t="s">
        <v>71</v>
      </c>
      <c r="E35" s="95" t="s">
        <v>69</v>
      </c>
      <c r="F35" s="96" t="s">
        <v>70</v>
      </c>
    </row>
    <row r="36" spans="2:8" ht="16.8" thickBot="1" x14ac:dyDescent="0.4">
      <c r="B36" s="434" t="s">
        <v>359</v>
      </c>
      <c r="C36" s="435"/>
      <c r="D36" s="435"/>
      <c r="E36" s="435"/>
      <c r="F36" s="435"/>
    </row>
    <row r="37" spans="2:8" x14ac:dyDescent="0.3">
      <c r="B37" s="111">
        <v>39</v>
      </c>
      <c r="C37" s="51">
        <v>1</v>
      </c>
      <c r="D37" s="3" t="s">
        <v>385</v>
      </c>
      <c r="E37" s="3" t="s">
        <v>27</v>
      </c>
      <c r="F37" s="4" t="s">
        <v>28</v>
      </c>
      <c r="G37" s="199" t="s">
        <v>499</v>
      </c>
      <c r="H37" s="199">
        <v>61206</v>
      </c>
    </row>
    <row r="38" spans="2:8" ht="24.6" thickBot="1" x14ac:dyDescent="0.35">
      <c r="B38" s="109">
        <v>40</v>
      </c>
      <c r="C38" s="50">
        <v>2</v>
      </c>
      <c r="D38" s="3" t="s">
        <v>74</v>
      </c>
      <c r="E38" s="3" t="s">
        <v>73</v>
      </c>
      <c r="F38" s="4" t="s">
        <v>361</v>
      </c>
      <c r="G38" s="199" t="s">
        <v>514</v>
      </c>
      <c r="H38" s="199">
        <v>614348</v>
      </c>
    </row>
    <row r="39" spans="2:8" ht="16.8" thickBot="1" x14ac:dyDescent="0.4">
      <c r="B39" s="434" t="s">
        <v>362</v>
      </c>
      <c r="C39" s="435"/>
      <c r="D39" s="435"/>
      <c r="E39" s="435"/>
      <c r="F39" s="435"/>
    </row>
    <row r="40" spans="2:8" ht="42" x14ac:dyDescent="0.3">
      <c r="B40" s="111">
        <v>41</v>
      </c>
      <c r="C40" s="51">
        <v>1</v>
      </c>
      <c r="D40" s="3" t="s">
        <v>329</v>
      </c>
      <c r="E40" s="3" t="s">
        <v>267</v>
      </c>
      <c r="F40" s="151" t="s">
        <v>266</v>
      </c>
      <c r="G40" s="199" t="s">
        <v>515</v>
      </c>
    </row>
    <row r="41" spans="2:8" ht="27.6" x14ac:dyDescent="0.3">
      <c r="B41" s="113">
        <v>42</v>
      </c>
      <c r="C41" s="65">
        <v>2</v>
      </c>
      <c r="D41" s="3" t="s">
        <v>264</v>
      </c>
      <c r="E41" s="78" t="s">
        <v>66</v>
      </c>
      <c r="F41" s="79" t="s">
        <v>391</v>
      </c>
      <c r="G41" s="199" t="s">
        <v>515</v>
      </c>
    </row>
    <row r="42" spans="2:8" ht="15" thickBot="1" x14ac:dyDescent="0.35">
      <c r="B42" s="109">
        <v>43</v>
      </c>
      <c r="C42" s="50">
        <v>3</v>
      </c>
      <c r="D42" s="112"/>
      <c r="E42" s="3" t="s">
        <v>199</v>
      </c>
      <c r="F42" s="4" t="s">
        <v>198</v>
      </c>
    </row>
    <row r="43" spans="2:8" ht="16.8" thickBot="1" x14ac:dyDescent="0.4">
      <c r="B43" s="434" t="s">
        <v>363</v>
      </c>
      <c r="C43" s="435"/>
      <c r="D43" s="435"/>
      <c r="E43" s="435"/>
      <c r="F43" s="435"/>
    </row>
    <row r="44" spans="2:8" x14ac:dyDescent="0.3">
      <c r="B44" s="111">
        <v>44</v>
      </c>
      <c r="C44" s="51">
        <v>1</v>
      </c>
      <c r="D44" s="3" t="s">
        <v>364</v>
      </c>
      <c r="E44" s="3" t="s">
        <v>65</v>
      </c>
      <c r="F44" s="4" t="s">
        <v>89</v>
      </c>
      <c r="G44" s="199" t="s">
        <v>499</v>
      </c>
      <c r="H44" s="199">
        <v>756</v>
      </c>
    </row>
    <row r="45" spans="2:8" x14ac:dyDescent="0.3">
      <c r="B45" s="111">
        <v>45</v>
      </c>
      <c r="C45" s="51">
        <v>2</v>
      </c>
      <c r="D45" s="3" t="s">
        <v>310</v>
      </c>
      <c r="E45" s="5" t="s">
        <v>88</v>
      </c>
      <c r="F45" s="4" t="s">
        <v>89</v>
      </c>
      <c r="G45" s="199" t="s">
        <v>499</v>
      </c>
      <c r="H45" s="199">
        <v>775</v>
      </c>
    </row>
    <row r="46" spans="2:8" ht="24.6" thickBot="1" x14ac:dyDescent="0.35">
      <c r="B46" s="113">
        <v>46</v>
      </c>
      <c r="C46" s="65">
        <v>3</v>
      </c>
      <c r="D46" s="78" t="s">
        <v>293</v>
      </c>
      <c r="E46" s="103" t="s">
        <v>342</v>
      </c>
      <c r="F46" s="79" t="s">
        <v>82</v>
      </c>
      <c r="G46" s="199" t="s">
        <v>499</v>
      </c>
      <c r="H46" s="199">
        <v>2704</v>
      </c>
    </row>
    <row r="47" spans="2:8" ht="16.8" thickBot="1" x14ac:dyDescent="0.35">
      <c r="B47" s="445" t="s">
        <v>365</v>
      </c>
      <c r="C47" s="446"/>
      <c r="D47" s="446"/>
      <c r="E47" s="446"/>
      <c r="F47" s="446"/>
    </row>
    <row r="48" spans="2:8" x14ac:dyDescent="0.3">
      <c r="B48" s="111">
        <v>47</v>
      </c>
      <c r="C48" s="51">
        <v>1</v>
      </c>
      <c r="D48" s="86" t="s">
        <v>170</v>
      </c>
      <c r="E48" s="86" t="s">
        <v>168</v>
      </c>
      <c r="F48" s="104" t="s">
        <v>169</v>
      </c>
      <c r="G48" s="199" t="s">
        <v>524</v>
      </c>
    </row>
    <row r="49" spans="2:8" ht="15" thickBot="1" x14ac:dyDescent="0.35">
      <c r="B49" s="113">
        <v>48</v>
      </c>
      <c r="C49" s="65">
        <v>2</v>
      </c>
      <c r="D49" s="78" t="s">
        <v>281</v>
      </c>
      <c r="E49" s="78" t="s">
        <v>61</v>
      </c>
      <c r="F49" s="79" t="s">
        <v>62</v>
      </c>
      <c r="G49" s="199" t="s">
        <v>499</v>
      </c>
      <c r="H49" s="199">
        <v>1998</v>
      </c>
    </row>
    <row r="50" spans="2:8" ht="16.8" thickBot="1" x14ac:dyDescent="0.4">
      <c r="B50" s="434" t="s">
        <v>366</v>
      </c>
      <c r="C50" s="435"/>
      <c r="D50" s="435"/>
      <c r="E50" s="435"/>
      <c r="F50" s="435"/>
    </row>
    <row r="51" spans="2:8" ht="41.4" x14ac:dyDescent="0.3">
      <c r="B51" s="111">
        <v>49</v>
      </c>
      <c r="C51" s="51">
        <v>1</v>
      </c>
      <c r="D51" s="3" t="s">
        <v>243</v>
      </c>
      <c r="E51" s="31" t="s">
        <v>244</v>
      </c>
      <c r="F51" s="4" t="s">
        <v>85</v>
      </c>
      <c r="G51" s="199" t="s">
        <v>525</v>
      </c>
    </row>
    <row r="52" spans="2:8" x14ac:dyDescent="0.3">
      <c r="B52" s="111"/>
      <c r="C52" s="51"/>
      <c r="D52" s="11"/>
      <c r="E52" s="146"/>
      <c r="F52" s="147" t="s">
        <v>420</v>
      </c>
    </row>
    <row r="53" spans="2:8" x14ac:dyDescent="0.3">
      <c r="B53" s="111">
        <f>B51+1</f>
        <v>50</v>
      </c>
      <c r="C53" s="51">
        <v>2</v>
      </c>
      <c r="D53" s="19" t="s">
        <v>255</v>
      </c>
      <c r="E53" s="136" t="s">
        <v>86</v>
      </c>
      <c r="F53" s="194" t="s">
        <v>87</v>
      </c>
      <c r="G53" s="199" t="s">
        <v>521</v>
      </c>
    </row>
    <row r="54" spans="2:8" ht="41.4" x14ac:dyDescent="0.3">
      <c r="B54" s="111">
        <f>B53+1</f>
        <v>51</v>
      </c>
      <c r="C54" s="51">
        <v>3</v>
      </c>
      <c r="D54" s="19" t="s">
        <v>157</v>
      </c>
      <c r="E54" s="136" t="s">
        <v>158</v>
      </c>
      <c r="F54" s="194" t="s">
        <v>159</v>
      </c>
      <c r="G54" s="199" t="s">
        <v>526</v>
      </c>
    </row>
    <row r="55" spans="2:8" ht="24.6" thickBot="1" x14ac:dyDescent="0.35">
      <c r="B55" s="111">
        <f>B54+1</f>
        <v>52</v>
      </c>
      <c r="C55" s="51">
        <v>4</v>
      </c>
      <c r="D55" s="19" t="s">
        <v>119</v>
      </c>
      <c r="E55" s="19" t="s">
        <v>120</v>
      </c>
      <c r="F55" s="194" t="s">
        <v>64</v>
      </c>
      <c r="G55" s="199" t="s">
        <v>527</v>
      </c>
    </row>
    <row r="56" spans="2:8" ht="16.8" thickBot="1" x14ac:dyDescent="0.4">
      <c r="B56" s="434" t="s">
        <v>367</v>
      </c>
      <c r="C56" s="435"/>
      <c r="D56" s="435"/>
      <c r="E56" s="435"/>
      <c r="F56" s="435"/>
    </row>
    <row r="57" spans="2:8" x14ac:dyDescent="0.3">
      <c r="B57" s="111">
        <v>53</v>
      </c>
      <c r="C57" s="51">
        <v>1</v>
      </c>
      <c r="D57" s="19" t="s">
        <v>143</v>
      </c>
      <c r="E57" s="19" t="s">
        <v>46</v>
      </c>
      <c r="F57" s="194" t="s">
        <v>144</v>
      </c>
      <c r="G57" s="199" t="s">
        <v>521</v>
      </c>
      <c r="H57" s="199">
        <v>1555</v>
      </c>
    </row>
    <row r="58" spans="2:8" ht="27.6" x14ac:dyDescent="0.3">
      <c r="B58" s="111">
        <f t="shared" ref="B58:B63" si="2">B57+1</f>
        <v>54</v>
      </c>
      <c r="C58" s="51">
        <v>2</v>
      </c>
      <c r="D58" s="19" t="s">
        <v>334</v>
      </c>
      <c r="E58" s="19" t="s">
        <v>47</v>
      </c>
      <c r="F58" s="194" t="s">
        <v>48</v>
      </c>
      <c r="G58" s="199" t="s">
        <v>528</v>
      </c>
      <c r="H58" s="199">
        <v>2621</v>
      </c>
    </row>
    <row r="59" spans="2:8" x14ac:dyDescent="0.3">
      <c r="B59" s="111">
        <f t="shared" si="2"/>
        <v>55</v>
      </c>
      <c r="C59" s="51">
        <v>3</v>
      </c>
      <c r="D59" s="19" t="s">
        <v>370</v>
      </c>
      <c r="E59" s="19" t="s">
        <v>308</v>
      </c>
      <c r="F59" s="194" t="s">
        <v>368</v>
      </c>
      <c r="G59" s="199" t="s">
        <v>521</v>
      </c>
      <c r="H59" s="199">
        <v>1033</v>
      </c>
    </row>
    <row r="60" spans="2:8" x14ac:dyDescent="0.3">
      <c r="B60" s="111">
        <f t="shared" si="2"/>
        <v>56</v>
      </c>
      <c r="C60" s="51">
        <v>4</v>
      </c>
      <c r="D60" s="19" t="s">
        <v>371</v>
      </c>
      <c r="E60" s="19" t="s">
        <v>309</v>
      </c>
      <c r="F60" s="194" t="s">
        <v>369</v>
      </c>
      <c r="G60" s="199" t="s">
        <v>521</v>
      </c>
      <c r="H60" s="199">
        <v>735</v>
      </c>
    </row>
    <row r="61" spans="2:8" x14ac:dyDescent="0.3">
      <c r="B61" s="111">
        <f t="shared" si="2"/>
        <v>57</v>
      </c>
      <c r="C61" s="51">
        <v>5</v>
      </c>
      <c r="D61" s="19" t="s">
        <v>140</v>
      </c>
      <c r="E61" s="136" t="s">
        <v>83</v>
      </c>
      <c r="F61" s="194" t="s">
        <v>84</v>
      </c>
      <c r="G61" s="199" t="s">
        <v>521</v>
      </c>
      <c r="H61" s="199">
        <v>2998</v>
      </c>
    </row>
    <row r="62" spans="2:8" x14ac:dyDescent="0.3">
      <c r="B62" s="111">
        <f t="shared" si="2"/>
        <v>58</v>
      </c>
      <c r="C62" s="51">
        <v>6</v>
      </c>
      <c r="D62" s="19" t="s">
        <v>373</v>
      </c>
      <c r="E62" s="195" t="s">
        <v>283</v>
      </c>
      <c r="F62" s="194" t="s">
        <v>72</v>
      </c>
      <c r="G62" s="199" t="s">
        <v>521</v>
      </c>
      <c r="H62" s="199">
        <v>2733</v>
      </c>
    </row>
    <row r="63" spans="2:8" ht="28.2" thickBot="1" x14ac:dyDescent="0.35">
      <c r="B63" s="111">
        <f t="shared" si="2"/>
        <v>59</v>
      </c>
      <c r="C63" s="65">
        <v>7</v>
      </c>
      <c r="D63" s="19" t="s">
        <v>423</v>
      </c>
      <c r="E63" s="136" t="s">
        <v>128</v>
      </c>
      <c r="F63" s="196" t="s">
        <v>127</v>
      </c>
      <c r="G63" s="199" t="s">
        <v>529</v>
      </c>
    </row>
    <row r="64" spans="2:8" ht="16.8" thickBot="1" x14ac:dyDescent="0.4">
      <c r="B64" s="434" t="s">
        <v>372</v>
      </c>
      <c r="C64" s="435"/>
      <c r="D64" s="435"/>
      <c r="E64" s="435"/>
      <c r="F64" s="435"/>
    </row>
    <row r="65" spans="2:8" x14ac:dyDescent="0.3">
      <c r="B65" s="111">
        <v>60</v>
      </c>
      <c r="C65" s="51">
        <v>1</v>
      </c>
      <c r="D65" s="19" t="s">
        <v>335</v>
      </c>
      <c r="E65" s="19" t="s">
        <v>51</v>
      </c>
      <c r="F65" s="194" t="s">
        <v>52</v>
      </c>
      <c r="G65" s="199" t="s">
        <v>499</v>
      </c>
      <c r="H65" s="199">
        <v>995</v>
      </c>
    </row>
    <row r="66" spans="2:8" x14ac:dyDescent="0.3">
      <c r="B66" s="111">
        <f>B65+1</f>
        <v>61</v>
      </c>
      <c r="C66" s="51">
        <v>2</v>
      </c>
      <c r="D66" s="19" t="s">
        <v>122</v>
      </c>
      <c r="E66" s="19" t="s">
        <v>53</v>
      </c>
      <c r="F66" s="194" t="s">
        <v>269</v>
      </c>
      <c r="G66" s="199" t="s">
        <v>530</v>
      </c>
      <c r="H66" s="199">
        <v>773</v>
      </c>
    </row>
    <row r="67" spans="2:8" x14ac:dyDescent="0.3">
      <c r="B67" s="111">
        <f t="shared" ref="B67:B73" si="3">B66+1</f>
        <v>62</v>
      </c>
      <c r="C67" s="51">
        <v>3</v>
      </c>
      <c r="D67" s="19" t="s">
        <v>271</v>
      </c>
      <c r="E67" s="19" t="s">
        <v>54</v>
      </c>
      <c r="F67" s="194" t="s">
        <v>269</v>
      </c>
      <c r="G67" s="199" t="s">
        <v>530</v>
      </c>
    </row>
    <row r="68" spans="2:8" x14ac:dyDescent="0.3">
      <c r="B68" s="111">
        <f t="shared" si="3"/>
        <v>63</v>
      </c>
      <c r="C68" s="51">
        <v>4</v>
      </c>
      <c r="D68" s="195" t="s">
        <v>496</v>
      </c>
      <c r="E68" s="19" t="s">
        <v>55</v>
      </c>
      <c r="F68" s="194" t="s">
        <v>56</v>
      </c>
      <c r="G68" s="199" t="s">
        <v>530</v>
      </c>
      <c r="H68" s="199">
        <v>4734</v>
      </c>
    </row>
    <row r="69" spans="2:8" ht="27.6" x14ac:dyDescent="0.3">
      <c r="B69" s="111">
        <f t="shared" si="3"/>
        <v>64</v>
      </c>
      <c r="C69" s="51">
        <v>5</v>
      </c>
      <c r="D69" s="19" t="s">
        <v>374</v>
      </c>
      <c r="E69" s="19" t="s">
        <v>57</v>
      </c>
      <c r="F69" s="194" t="s">
        <v>58</v>
      </c>
      <c r="G69" s="199" t="s">
        <v>537</v>
      </c>
      <c r="H69" s="199">
        <v>460</v>
      </c>
    </row>
    <row r="70" spans="2:8" ht="24" x14ac:dyDescent="0.3">
      <c r="B70" s="111">
        <f t="shared" si="3"/>
        <v>65</v>
      </c>
      <c r="C70" s="51">
        <v>6</v>
      </c>
      <c r="D70" s="19" t="s">
        <v>375</v>
      </c>
      <c r="E70" s="19" t="s">
        <v>59</v>
      </c>
      <c r="F70" s="194" t="s">
        <v>60</v>
      </c>
      <c r="G70" s="199" t="s">
        <v>530</v>
      </c>
      <c r="H70" s="199">
        <v>101</v>
      </c>
    </row>
    <row r="71" spans="2:8" ht="24" x14ac:dyDescent="0.3">
      <c r="B71" s="111">
        <f t="shared" si="3"/>
        <v>66</v>
      </c>
      <c r="C71" s="51">
        <v>7</v>
      </c>
      <c r="D71" s="19" t="s">
        <v>155</v>
      </c>
      <c r="E71" s="19">
        <v>6152062</v>
      </c>
      <c r="F71" s="194" t="s">
        <v>153</v>
      </c>
      <c r="G71" s="199" t="s">
        <v>530</v>
      </c>
    </row>
    <row r="72" spans="2:8" ht="27.6" x14ac:dyDescent="0.3">
      <c r="B72" s="111">
        <f t="shared" si="3"/>
        <v>67</v>
      </c>
      <c r="C72" s="51">
        <v>8</v>
      </c>
      <c r="D72" s="19" t="s">
        <v>141</v>
      </c>
      <c r="E72" s="197" t="s">
        <v>75</v>
      </c>
      <c r="F72" s="194" t="s">
        <v>76</v>
      </c>
      <c r="G72" s="199" t="s">
        <v>531</v>
      </c>
    </row>
    <row r="73" spans="2:8" ht="28.2" thickBot="1" x14ac:dyDescent="0.35">
      <c r="B73" s="111">
        <f t="shared" si="3"/>
        <v>68</v>
      </c>
      <c r="C73" s="65">
        <v>9</v>
      </c>
      <c r="D73" s="82" t="s">
        <v>142</v>
      </c>
      <c r="E73" s="142" t="s">
        <v>77</v>
      </c>
      <c r="F73" s="198" t="s">
        <v>78</v>
      </c>
      <c r="G73" s="199" t="s">
        <v>532</v>
      </c>
    </row>
    <row r="74" spans="2:8" ht="16.2" x14ac:dyDescent="0.35">
      <c r="B74" s="457" t="s">
        <v>376</v>
      </c>
      <c r="C74" s="458"/>
      <c r="D74" s="458"/>
      <c r="E74" s="458"/>
      <c r="F74" s="458"/>
    </row>
    <row r="75" spans="2:8" ht="69" x14ac:dyDescent="0.3">
      <c r="B75" s="5">
        <v>69</v>
      </c>
      <c r="C75" s="5">
        <v>1</v>
      </c>
      <c r="D75" s="3" t="s">
        <v>377</v>
      </c>
      <c r="E75" s="28" t="s">
        <v>163</v>
      </c>
      <c r="F75" s="45" t="s">
        <v>38</v>
      </c>
      <c r="G75" s="187" t="s">
        <v>520</v>
      </c>
    </row>
    <row r="76" spans="2:8" ht="55.2" x14ac:dyDescent="0.3">
      <c r="B76" s="5">
        <v>70</v>
      </c>
      <c r="C76" s="5">
        <v>2</v>
      </c>
      <c r="D76" s="3" t="s">
        <v>164</v>
      </c>
      <c r="E76" s="28" t="s">
        <v>162</v>
      </c>
      <c r="F76" s="45" t="s">
        <v>39</v>
      </c>
      <c r="G76" s="187" t="s">
        <v>522</v>
      </c>
    </row>
    <row r="77" spans="2:8" x14ac:dyDescent="0.3">
      <c r="B77" s="5">
        <v>71</v>
      </c>
      <c r="C77" s="5">
        <v>3</v>
      </c>
      <c r="D77" s="5" t="s">
        <v>111</v>
      </c>
      <c r="E77" s="28" t="s">
        <v>107</v>
      </c>
      <c r="F77" s="45" t="s">
        <v>106</v>
      </c>
      <c r="G77" s="187" t="s">
        <v>523</v>
      </c>
    </row>
    <row r="78" spans="2:8" ht="16.2" x14ac:dyDescent="0.35">
      <c r="B78" s="456" t="s">
        <v>378</v>
      </c>
      <c r="C78" s="456"/>
      <c r="D78" s="456"/>
      <c r="E78" s="456"/>
      <c r="F78" s="456"/>
      <c r="G78" s="187"/>
    </row>
    <row r="79" spans="2:8" ht="24" x14ac:dyDescent="0.3">
      <c r="B79" s="5">
        <v>72</v>
      </c>
      <c r="C79" s="5">
        <v>1</v>
      </c>
      <c r="D79" s="3" t="s">
        <v>137</v>
      </c>
      <c r="E79" s="28" t="s">
        <v>80</v>
      </c>
      <c r="F79" s="45" t="s">
        <v>81</v>
      </c>
      <c r="G79" s="200" t="s">
        <v>517</v>
      </c>
    </row>
    <row r="80" spans="2:8" x14ac:dyDescent="0.3">
      <c r="B80" s="5">
        <f>B79+1</f>
        <v>73</v>
      </c>
      <c r="C80" s="5">
        <v>2</v>
      </c>
      <c r="D80" s="3" t="s">
        <v>207</v>
      </c>
      <c r="E80" s="28" t="s">
        <v>206</v>
      </c>
      <c r="F80" s="45" t="s">
        <v>208</v>
      </c>
      <c r="G80" s="187" t="s">
        <v>516</v>
      </c>
    </row>
    <row r="81" spans="2:7" ht="27.6" x14ac:dyDescent="0.3">
      <c r="B81" s="5">
        <f>B80+1</f>
        <v>74</v>
      </c>
      <c r="C81" s="5">
        <v>4</v>
      </c>
      <c r="D81" s="5" t="s">
        <v>380</v>
      </c>
      <c r="E81" s="5"/>
      <c r="F81" s="107" t="s">
        <v>382</v>
      </c>
      <c r="G81" s="187" t="s">
        <v>519</v>
      </c>
    </row>
    <row r="82" spans="2:7" x14ac:dyDescent="0.3">
      <c r="B82" s="5">
        <f>B81+1</f>
        <v>75</v>
      </c>
      <c r="C82" s="5">
        <v>5</v>
      </c>
      <c r="D82" s="3" t="s">
        <v>381</v>
      </c>
      <c r="E82" s="129"/>
      <c r="F82" s="107" t="s">
        <v>382</v>
      </c>
      <c r="G82" s="187" t="s">
        <v>518</v>
      </c>
    </row>
  </sheetData>
  <mergeCells count="13">
    <mergeCell ref="B39:F39"/>
    <mergeCell ref="B2:F2"/>
    <mergeCell ref="B15:F15"/>
    <mergeCell ref="B19:F19"/>
    <mergeCell ref="B23:F23"/>
    <mergeCell ref="B36:F36"/>
    <mergeCell ref="B78:F78"/>
    <mergeCell ref="B43:F43"/>
    <mergeCell ref="B47:F47"/>
    <mergeCell ref="B50:F50"/>
    <mergeCell ref="B56:F56"/>
    <mergeCell ref="B64:F64"/>
    <mergeCell ref="B74:F7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53F59-A5E8-465E-87A4-57056F8B66FB}">
  <dimension ref="C2:D49"/>
  <sheetViews>
    <sheetView topLeftCell="A21" workbookViewId="0">
      <selection activeCell="D32" sqref="D32"/>
    </sheetView>
  </sheetViews>
  <sheetFormatPr defaultRowHeight="14.4" x14ac:dyDescent="0.3"/>
  <cols>
    <col min="3" max="3" width="14.6640625" style="229" customWidth="1"/>
    <col min="4" max="4" width="47.77734375" style="229" customWidth="1"/>
  </cols>
  <sheetData>
    <row r="2" spans="3:4" ht="15" thickBot="1" x14ac:dyDescent="0.35"/>
    <row r="3" spans="3:4" x14ac:dyDescent="0.3">
      <c r="C3" s="230" t="s">
        <v>351</v>
      </c>
      <c r="D3" s="220" t="s">
        <v>25</v>
      </c>
    </row>
    <row r="4" spans="3:4" x14ac:dyDescent="0.3">
      <c r="C4" s="231" t="s">
        <v>350</v>
      </c>
      <c r="D4" s="221" t="s">
        <v>30</v>
      </c>
    </row>
    <row r="5" spans="3:4" x14ac:dyDescent="0.3">
      <c r="C5" s="231" t="s">
        <v>187</v>
      </c>
      <c r="D5" s="221" t="s">
        <v>345</v>
      </c>
    </row>
    <row r="6" spans="3:4" x14ac:dyDescent="0.3">
      <c r="C6" s="231" t="s">
        <v>211</v>
      </c>
      <c r="D6" s="221" t="s">
        <v>345</v>
      </c>
    </row>
    <row r="7" spans="3:4" x14ac:dyDescent="0.3">
      <c r="C7" s="231" t="s">
        <v>212</v>
      </c>
      <c r="D7" s="221" t="s">
        <v>344</v>
      </c>
    </row>
    <row r="8" spans="3:4" x14ac:dyDescent="0.3">
      <c r="C8" s="231" t="s">
        <v>349</v>
      </c>
      <c r="D8" s="221" t="s">
        <v>22</v>
      </c>
    </row>
    <row r="9" spans="3:4" x14ac:dyDescent="0.3">
      <c r="C9" s="231" t="s">
        <v>353</v>
      </c>
      <c r="D9" s="221" t="s">
        <v>23</v>
      </c>
    </row>
    <row r="10" spans="3:4" x14ac:dyDescent="0.3">
      <c r="C10" s="231" t="s">
        <v>237</v>
      </c>
      <c r="D10" s="232" t="s">
        <v>173</v>
      </c>
    </row>
    <row r="11" spans="3:4" x14ac:dyDescent="0.3">
      <c r="C11" s="231" t="s">
        <v>239</v>
      </c>
      <c r="D11" s="232" t="s">
        <v>240</v>
      </c>
    </row>
    <row r="12" spans="3:4" x14ac:dyDescent="0.3">
      <c r="C12" s="231" t="s">
        <v>338</v>
      </c>
      <c r="D12" s="232" t="s">
        <v>336</v>
      </c>
    </row>
    <row r="13" spans="3:4" ht="15" thickBot="1" x14ac:dyDescent="0.35">
      <c r="C13" s="233" t="s">
        <v>347</v>
      </c>
      <c r="D13" s="234" t="s">
        <v>346</v>
      </c>
    </row>
    <row r="14" spans="3:4" x14ac:dyDescent="0.3">
      <c r="C14" s="235" t="s">
        <v>189</v>
      </c>
      <c r="D14" s="222" t="s">
        <v>188</v>
      </c>
    </row>
    <row r="15" spans="3:4" x14ac:dyDescent="0.3">
      <c r="C15" s="236" t="s">
        <v>284</v>
      </c>
      <c r="D15" s="221" t="s">
        <v>286</v>
      </c>
    </row>
    <row r="16" spans="3:4" x14ac:dyDescent="0.3">
      <c r="C16" s="236" t="s">
        <v>183</v>
      </c>
      <c r="D16" s="221" t="s">
        <v>185</v>
      </c>
    </row>
    <row r="17" spans="3:4" x14ac:dyDescent="0.3">
      <c r="C17" s="236" t="s">
        <v>332</v>
      </c>
      <c r="D17" s="221" t="s">
        <v>114</v>
      </c>
    </row>
    <row r="18" spans="3:4" x14ac:dyDescent="0.3">
      <c r="C18" s="236" t="s">
        <v>192</v>
      </c>
      <c r="D18" s="221" t="s">
        <v>194</v>
      </c>
    </row>
    <row r="19" spans="3:4" x14ac:dyDescent="0.3">
      <c r="C19" s="236" t="s">
        <v>252</v>
      </c>
      <c r="D19" s="221" t="s">
        <v>250</v>
      </c>
    </row>
    <row r="20" spans="3:4" x14ac:dyDescent="0.3">
      <c r="C20" s="236" t="s">
        <v>180</v>
      </c>
      <c r="D20" s="223" t="s">
        <v>181</v>
      </c>
    </row>
    <row r="21" spans="3:4" x14ac:dyDescent="0.3">
      <c r="C21" s="236" t="s">
        <v>230</v>
      </c>
      <c r="D21" s="232" t="s">
        <v>226</v>
      </c>
    </row>
    <row r="22" spans="3:4" x14ac:dyDescent="0.3">
      <c r="C22" s="236" t="s">
        <v>259</v>
      </c>
      <c r="D22" s="221" t="s">
        <v>260</v>
      </c>
    </row>
    <row r="23" spans="3:4" x14ac:dyDescent="0.3">
      <c r="C23" s="231" t="s">
        <v>234</v>
      </c>
      <c r="D23" s="221" t="s">
        <v>233</v>
      </c>
    </row>
    <row r="24" spans="3:4" ht="24" x14ac:dyDescent="0.3">
      <c r="C24" s="236" t="s">
        <v>258</v>
      </c>
      <c r="D24" s="221" t="s">
        <v>241</v>
      </c>
    </row>
    <row r="25" spans="3:4" ht="15" thickBot="1" x14ac:dyDescent="0.35">
      <c r="C25" s="237" t="s">
        <v>272</v>
      </c>
      <c r="D25" s="224" t="s">
        <v>18</v>
      </c>
    </row>
    <row r="26" spans="3:4" x14ac:dyDescent="0.3">
      <c r="C26" s="238" t="s">
        <v>360</v>
      </c>
      <c r="D26" s="225" t="s">
        <v>45</v>
      </c>
    </row>
    <row r="27" spans="3:4" x14ac:dyDescent="0.3">
      <c r="C27" s="236" t="s">
        <v>312</v>
      </c>
      <c r="D27" s="221" t="s">
        <v>20</v>
      </c>
    </row>
    <row r="28" spans="3:4" x14ac:dyDescent="0.3">
      <c r="C28" s="239" t="s">
        <v>216</v>
      </c>
      <c r="D28" s="226" t="s">
        <v>217</v>
      </c>
    </row>
    <row r="29" spans="3:4" ht="24" x14ac:dyDescent="0.3">
      <c r="C29" s="240" t="s">
        <v>319</v>
      </c>
      <c r="D29" s="225" t="s">
        <v>320</v>
      </c>
    </row>
    <row r="30" spans="3:4" x14ac:dyDescent="0.3">
      <c r="C30" s="231" t="s">
        <v>275</v>
      </c>
      <c r="D30" s="221" t="s">
        <v>276</v>
      </c>
    </row>
    <row r="31" spans="3:4" x14ac:dyDescent="0.3">
      <c r="C31" s="241" t="s">
        <v>93</v>
      </c>
      <c r="D31" s="226" t="s">
        <v>92</v>
      </c>
    </row>
    <row r="32" spans="3:4" ht="220.2" customHeight="1" x14ac:dyDescent="0.3">
      <c r="C32" s="231" t="s">
        <v>225</v>
      </c>
      <c r="D32" s="227" t="s">
        <v>634</v>
      </c>
    </row>
    <row r="33" spans="3:4" x14ac:dyDescent="0.3">
      <c r="C33" s="236" t="s">
        <v>540</v>
      </c>
      <c r="D33" s="227" t="s">
        <v>127</v>
      </c>
    </row>
    <row r="34" spans="3:4" x14ac:dyDescent="0.3">
      <c r="C34" s="236" t="s">
        <v>335</v>
      </c>
      <c r="D34" s="227" t="s">
        <v>52</v>
      </c>
    </row>
    <row r="35" spans="3:4" x14ac:dyDescent="0.3">
      <c r="C35" s="236" t="s">
        <v>122</v>
      </c>
      <c r="D35" s="227" t="s">
        <v>269</v>
      </c>
    </row>
    <row r="36" spans="3:4" x14ac:dyDescent="0.3">
      <c r="C36" s="236" t="s">
        <v>271</v>
      </c>
      <c r="D36" s="227" t="s">
        <v>269</v>
      </c>
    </row>
    <row r="37" spans="3:4" x14ac:dyDescent="0.3">
      <c r="C37" s="236" t="s">
        <v>496</v>
      </c>
      <c r="D37" s="227" t="s">
        <v>56</v>
      </c>
    </row>
    <row r="38" spans="3:4" x14ac:dyDescent="0.3">
      <c r="C38" s="236" t="s">
        <v>374</v>
      </c>
      <c r="D38" s="227" t="s">
        <v>58</v>
      </c>
    </row>
    <row r="39" spans="3:4" x14ac:dyDescent="0.3">
      <c r="C39" s="236" t="s">
        <v>375</v>
      </c>
      <c r="D39" s="227" t="s">
        <v>60</v>
      </c>
    </row>
    <row r="40" spans="3:4" ht="24" x14ac:dyDescent="0.3">
      <c r="C40" s="236" t="s">
        <v>155</v>
      </c>
      <c r="D40" s="227" t="s">
        <v>153</v>
      </c>
    </row>
    <row r="41" spans="3:4" x14ac:dyDescent="0.3">
      <c r="C41" s="236" t="s">
        <v>141</v>
      </c>
      <c r="D41" s="227" t="s">
        <v>76</v>
      </c>
    </row>
    <row r="42" spans="3:4" x14ac:dyDescent="0.3">
      <c r="C42" s="239" t="s">
        <v>142</v>
      </c>
      <c r="D42" s="228" t="s">
        <v>78</v>
      </c>
    </row>
    <row r="43" spans="3:4" x14ac:dyDescent="0.3">
      <c r="C43" s="236" t="s">
        <v>377</v>
      </c>
      <c r="D43" s="221" t="s">
        <v>38</v>
      </c>
    </row>
    <row r="44" spans="3:4" x14ac:dyDescent="0.3">
      <c r="C44" s="236" t="s">
        <v>164</v>
      </c>
      <c r="D44" s="221" t="s">
        <v>39</v>
      </c>
    </row>
    <row r="45" spans="3:4" x14ac:dyDescent="0.3">
      <c r="C45" s="239" t="s">
        <v>111</v>
      </c>
      <c r="D45" s="226" t="s">
        <v>106</v>
      </c>
    </row>
    <row r="46" spans="3:4" x14ac:dyDescent="0.3">
      <c r="C46" s="236" t="s">
        <v>137</v>
      </c>
      <c r="D46" s="221" t="s">
        <v>81</v>
      </c>
    </row>
    <row r="47" spans="3:4" x14ac:dyDescent="0.3">
      <c r="C47" s="236" t="s">
        <v>207</v>
      </c>
      <c r="D47" s="221" t="s">
        <v>208</v>
      </c>
    </row>
    <row r="48" spans="3:4" x14ac:dyDescent="0.3">
      <c r="C48" s="236" t="s">
        <v>380</v>
      </c>
      <c r="D48" s="242" t="s">
        <v>382</v>
      </c>
    </row>
    <row r="49" spans="3:4" x14ac:dyDescent="0.3">
      <c r="C49" s="239" t="s">
        <v>381</v>
      </c>
      <c r="D49" s="242" t="s">
        <v>382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298AF-FE05-447A-8C4A-DED45503BE46}">
  <dimension ref="B3:H19"/>
  <sheetViews>
    <sheetView workbookViewId="0">
      <selection activeCell="H5" sqref="H5"/>
    </sheetView>
  </sheetViews>
  <sheetFormatPr defaultRowHeight="14.4" x14ac:dyDescent="0.3"/>
  <cols>
    <col min="1" max="1" width="1.77734375" customWidth="1"/>
    <col min="2" max="2" width="23.33203125" customWidth="1"/>
    <col min="3" max="3" width="22.109375" customWidth="1"/>
    <col min="4" max="4" width="23.109375" customWidth="1"/>
    <col min="5" max="5" width="22.109375" customWidth="1"/>
    <col min="6" max="6" width="22.88671875" customWidth="1"/>
    <col min="7" max="7" width="23.21875" customWidth="1"/>
    <col min="8" max="8" width="11" customWidth="1"/>
    <col min="9" max="9" width="23.77734375" customWidth="1"/>
  </cols>
  <sheetData>
    <row r="3" spans="2:8" ht="15" thickBot="1" x14ac:dyDescent="0.35"/>
    <row r="4" spans="2:8" ht="21" customHeight="1" thickBot="1" x14ac:dyDescent="0.35">
      <c r="B4" s="260" t="s">
        <v>548</v>
      </c>
      <c r="C4" s="261" t="s">
        <v>555</v>
      </c>
      <c r="D4" s="262" t="s">
        <v>563</v>
      </c>
      <c r="E4" s="261" t="s">
        <v>569</v>
      </c>
    </row>
    <row r="5" spans="2:8" ht="21" customHeight="1" thickBot="1" x14ac:dyDescent="0.35">
      <c r="B5" s="263" t="s">
        <v>549</v>
      </c>
      <c r="C5" s="264" t="s">
        <v>556</v>
      </c>
      <c r="D5" s="265" t="s">
        <v>564</v>
      </c>
      <c r="E5" s="264" t="s">
        <v>570</v>
      </c>
      <c r="H5" s="352">
        <v>4296</v>
      </c>
    </row>
    <row r="6" spans="2:8" ht="21" customHeight="1" thickBot="1" x14ac:dyDescent="0.35">
      <c r="B6" s="266" t="s">
        <v>550</v>
      </c>
      <c r="C6" s="267" t="s">
        <v>558</v>
      </c>
      <c r="D6" s="268" t="s">
        <v>565</v>
      </c>
      <c r="E6" s="269" t="s">
        <v>571</v>
      </c>
    </row>
    <row r="7" spans="2:8" ht="21" customHeight="1" thickBot="1" x14ac:dyDescent="0.35">
      <c r="B7" s="270" t="s">
        <v>547</v>
      </c>
      <c r="C7" s="271" t="s">
        <v>557</v>
      </c>
      <c r="D7" s="272" t="s">
        <v>566</v>
      </c>
      <c r="E7" s="271" t="s">
        <v>572</v>
      </c>
    </row>
    <row r="8" spans="2:8" ht="21" customHeight="1" thickBot="1" x14ac:dyDescent="0.35">
      <c r="B8" s="273" t="s">
        <v>551</v>
      </c>
      <c r="C8" s="269" t="s">
        <v>559</v>
      </c>
      <c r="D8" s="274" t="s">
        <v>567</v>
      </c>
      <c r="E8" s="269" t="s">
        <v>573</v>
      </c>
    </row>
    <row r="9" spans="2:8" ht="21" customHeight="1" thickBot="1" x14ac:dyDescent="0.35">
      <c r="B9" s="270" t="s">
        <v>552</v>
      </c>
      <c r="C9" s="271" t="s">
        <v>560</v>
      </c>
      <c r="D9" s="272" t="s">
        <v>568</v>
      </c>
      <c r="E9" s="271" t="s">
        <v>574</v>
      </c>
    </row>
    <row r="10" spans="2:8" ht="21" customHeight="1" thickBot="1" x14ac:dyDescent="0.35">
      <c r="B10" s="275" t="s">
        <v>553</v>
      </c>
      <c r="C10" s="276" t="s">
        <v>561</v>
      </c>
      <c r="D10" s="268" t="s">
        <v>577</v>
      </c>
      <c r="E10" s="276" t="s">
        <v>575</v>
      </c>
    </row>
    <row r="11" spans="2:8" ht="21" customHeight="1" thickBot="1" x14ac:dyDescent="0.35">
      <c r="B11" s="277" t="s">
        <v>554</v>
      </c>
      <c r="C11" s="278" t="s">
        <v>562</v>
      </c>
      <c r="D11" s="279" t="s">
        <v>578</v>
      </c>
      <c r="E11" s="280" t="s">
        <v>576</v>
      </c>
    </row>
    <row r="12" spans="2:8" ht="21" customHeight="1" thickBot="1" x14ac:dyDescent="0.35">
      <c r="B12" s="275" t="s">
        <v>607</v>
      </c>
      <c r="C12" s="281" t="s">
        <v>579</v>
      </c>
      <c r="D12" s="268" t="s">
        <v>581</v>
      </c>
      <c r="E12" s="267" t="s">
        <v>580</v>
      </c>
    </row>
    <row r="13" spans="2:8" ht="21" customHeight="1" thickBot="1" x14ac:dyDescent="0.35">
      <c r="B13" s="277" t="s">
        <v>606</v>
      </c>
      <c r="C13" s="282" t="s">
        <v>582</v>
      </c>
      <c r="D13" s="279" t="s">
        <v>583</v>
      </c>
      <c r="E13" s="278" t="s">
        <v>587</v>
      </c>
    </row>
    <row r="14" spans="2:8" ht="21" customHeight="1" thickBot="1" x14ac:dyDescent="0.35">
      <c r="B14" s="271" t="s">
        <v>584</v>
      </c>
      <c r="C14" s="269" t="s">
        <v>601</v>
      </c>
      <c r="D14" s="274" t="s">
        <v>586</v>
      </c>
      <c r="E14" s="269" t="s">
        <v>585</v>
      </c>
    </row>
    <row r="15" spans="2:8" ht="21" customHeight="1" thickBot="1" x14ac:dyDescent="0.35">
      <c r="B15" s="283" t="s">
        <v>596</v>
      </c>
      <c r="C15" s="271" t="s">
        <v>600</v>
      </c>
      <c r="D15" s="265" t="s">
        <v>594</v>
      </c>
      <c r="E15" s="280" t="s">
        <v>588</v>
      </c>
    </row>
    <row r="16" spans="2:8" ht="21" customHeight="1" thickBot="1" x14ac:dyDescent="0.35">
      <c r="B16" s="273" t="s">
        <v>605</v>
      </c>
      <c r="C16" s="269" t="s">
        <v>599</v>
      </c>
      <c r="D16" s="274" t="s">
        <v>595</v>
      </c>
      <c r="E16" s="269" t="s">
        <v>589</v>
      </c>
    </row>
    <row r="17" spans="2:5" ht="21" customHeight="1" thickBot="1" x14ac:dyDescent="0.35">
      <c r="B17" s="270" t="s">
        <v>604</v>
      </c>
      <c r="C17" s="271" t="s">
        <v>598</v>
      </c>
      <c r="D17" s="272" t="s">
        <v>593</v>
      </c>
      <c r="E17" s="271" t="s">
        <v>590</v>
      </c>
    </row>
    <row r="18" spans="2:5" ht="21" customHeight="1" thickBot="1" x14ac:dyDescent="0.35">
      <c r="B18" s="277" t="s">
        <v>603</v>
      </c>
      <c r="C18" s="278" t="s">
        <v>597</v>
      </c>
      <c r="D18" s="284" t="s">
        <v>592</v>
      </c>
      <c r="E18" s="278" t="s">
        <v>591</v>
      </c>
    </row>
    <row r="19" spans="2:5" ht="21" customHeight="1" thickBot="1" x14ac:dyDescent="0.35">
      <c r="B19" s="278" t="s">
        <v>602</v>
      </c>
      <c r="C19" s="285" t="s">
        <v>608</v>
      </c>
      <c r="D19" s="271" t="s">
        <v>632</v>
      </c>
      <c r="E19" s="323" t="s">
        <v>630</v>
      </c>
    </row>
  </sheetData>
  <pageMargins left="0.7" right="0.7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D1043-D69C-4198-8C1B-09EE16FF1293}">
  <dimension ref="A1:K40"/>
  <sheetViews>
    <sheetView zoomScaleNormal="100" workbookViewId="0">
      <selection activeCell="A2" sqref="A2:C5"/>
    </sheetView>
  </sheetViews>
  <sheetFormatPr defaultRowHeight="14.4" x14ac:dyDescent="0.3"/>
  <cols>
    <col min="1" max="1" width="4.109375" customWidth="1"/>
    <col min="2" max="2" width="34.109375" style="291" customWidth="1"/>
    <col min="3" max="3" width="4" style="291" customWidth="1"/>
    <col min="4" max="4" width="0.21875" style="291" customWidth="1"/>
    <col min="5" max="5" width="4.33203125" style="291" customWidth="1"/>
    <col min="6" max="6" width="33.33203125" style="291" customWidth="1"/>
    <col min="7" max="7" width="4.109375" customWidth="1"/>
    <col min="10" max="10" width="27.44140625" customWidth="1"/>
    <col min="11" max="11" width="31.109375" customWidth="1"/>
  </cols>
  <sheetData>
    <row r="1" spans="1:11" ht="6" customHeight="1" thickBot="1" x14ac:dyDescent="0.35"/>
    <row r="2" spans="1:11" ht="18.600000000000001" customHeight="1" x14ac:dyDescent="0.3">
      <c r="A2" s="462"/>
      <c r="B2" s="463"/>
      <c r="C2" s="464"/>
      <c r="E2" s="462"/>
      <c r="F2" s="463"/>
      <c r="G2" s="464"/>
    </row>
    <row r="3" spans="1:11" ht="36.6" customHeight="1" x14ac:dyDescent="0.3">
      <c r="A3" s="243"/>
      <c r="B3" s="379" t="s">
        <v>697</v>
      </c>
      <c r="C3" s="292"/>
      <c r="D3" s="293"/>
      <c r="E3" s="294"/>
      <c r="F3" s="305" t="s">
        <v>631</v>
      </c>
      <c r="G3" s="245"/>
    </row>
    <row r="4" spans="1:11" ht="84" customHeight="1" x14ac:dyDescent="0.3">
      <c r="A4" s="243"/>
      <c r="B4" s="322" t="s">
        <v>698</v>
      </c>
      <c r="C4" s="295"/>
      <c r="D4" s="296"/>
      <c r="E4" s="297"/>
      <c r="F4" s="286" t="s">
        <v>351</v>
      </c>
      <c r="G4" s="245"/>
    </row>
    <row r="5" spans="1:11" ht="18" customHeight="1" thickBot="1" x14ac:dyDescent="0.35">
      <c r="A5" s="244"/>
      <c r="B5" s="298"/>
      <c r="C5" s="299"/>
      <c r="E5" s="300"/>
      <c r="F5" s="298"/>
      <c r="G5" s="246"/>
    </row>
    <row r="6" spans="1:11" ht="1.2" customHeight="1" thickBot="1" x14ac:dyDescent="0.35"/>
    <row r="7" spans="1:11" ht="18.600000000000001" customHeight="1" x14ac:dyDescent="0.3">
      <c r="A7" s="462"/>
      <c r="B7" s="463"/>
      <c r="C7" s="464"/>
      <c r="E7" s="462"/>
      <c r="F7" s="463"/>
      <c r="G7" s="464"/>
    </row>
    <row r="8" spans="1:11" ht="36.6" customHeight="1" x14ac:dyDescent="0.3">
      <c r="A8" s="254"/>
      <c r="B8" s="247"/>
      <c r="C8" s="292"/>
      <c r="D8" s="293"/>
      <c r="E8" s="294"/>
      <c r="F8" s="287"/>
      <c r="G8" s="255"/>
      <c r="K8" s="29"/>
    </row>
    <row r="9" spans="1:11" ht="81.599999999999994" customHeight="1" x14ac:dyDescent="0.3">
      <c r="A9" s="254"/>
      <c r="B9" s="288"/>
      <c r="C9" s="295"/>
      <c r="D9" s="296"/>
      <c r="E9" s="297"/>
      <c r="F9" s="301"/>
      <c r="G9" s="255"/>
    </row>
    <row r="10" spans="1:11" ht="18" customHeight="1" thickBot="1" x14ac:dyDescent="0.35">
      <c r="A10" s="257"/>
      <c r="B10" s="298"/>
      <c r="C10" s="299"/>
      <c r="E10" s="300"/>
      <c r="F10" s="298"/>
      <c r="G10" s="258"/>
    </row>
    <row r="11" spans="1:11" ht="1.2" customHeight="1" thickBot="1" x14ac:dyDescent="0.35">
      <c r="A11" s="256"/>
      <c r="G11" s="256"/>
    </row>
    <row r="12" spans="1:11" ht="18.600000000000001" customHeight="1" x14ac:dyDescent="0.3">
      <c r="A12" s="459"/>
      <c r="B12" s="460"/>
      <c r="C12" s="461"/>
      <c r="E12" s="459"/>
      <c r="F12" s="460"/>
      <c r="G12" s="461"/>
    </row>
    <row r="13" spans="1:11" ht="36" customHeight="1" x14ac:dyDescent="0.3">
      <c r="A13" s="254"/>
      <c r="B13" s="287"/>
      <c r="C13" s="292"/>
      <c r="D13" s="293"/>
      <c r="E13" s="294"/>
      <c r="F13" s="247"/>
      <c r="G13" s="255"/>
    </row>
    <row r="14" spans="1:11" ht="84" customHeight="1" x14ac:dyDescent="0.3">
      <c r="A14" s="254"/>
      <c r="B14" s="290"/>
      <c r="C14" s="295"/>
      <c r="D14" s="296"/>
      <c r="E14" s="297"/>
      <c r="F14" s="288"/>
      <c r="G14" s="255"/>
    </row>
    <row r="15" spans="1:11" ht="20.399999999999999" customHeight="1" thickBot="1" x14ac:dyDescent="0.35">
      <c r="A15" s="244"/>
      <c r="B15" s="298"/>
      <c r="C15" s="299"/>
      <c r="E15" s="300"/>
      <c r="F15" s="298"/>
      <c r="G15" s="246"/>
    </row>
    <row r="16" spans="1:11" ht="1.2" customHeight="1" thickBot="1" x14ac:dyDescent="0.35"/>
    <row r="17" spans="1:7" ht="22.2" customHeight="1" x14ac:dyDescent="0.3">
      <c r="A17" s="459"/>
      <c r="B17" s="460"/>
      <c r="C17" s="461"/>
      <c r="E17" s="459"/>
      <c r="F17" s="460"/>
      <c r="G17" s="461"/>
    </row>
    <row r="18" spans="1:7" ht="35.4" customHeight="1" x14ac:dyDescent="0.3">
      <c r="A18" s="254"/>
      <c r="B18" s="259"/>
      <c r="C18" s="302"/>
      <c r="D18" s="303"/>
      <c r="E18" s="304"/>
      <c r="F18" s="259"/>
      <c r="G18" s="255"/>
    </row>
    <row r="19" spans="1:7" ht="77.400000000000006" customHeight="1" x14ac:dyDescent="0.3">
      <c r="A19" s="254"/>
      <c r="B19" s="288"/>
      <c r="C19" s="295"/>
      <c r="D19" s="296"/>
      <c r="E19" s="297"/>
      <c r="F19" s="288"/>
      <c r="G19" s="255"/>
    </row>
    <row r="20" spans="1:7" ht="25.8" customHeight="1" thickBot="1" x14ac:dyDescent="0.35">
      <c r="A20" s="244"/>
      <c r="B20" s="298"/>
      <c r="C20" s="299"/>
      <c r="E20" s="300"/>
      <c r="F20" s="298"/>
      <c r="G20" s="246"/>
    </row>
    <row r="21" spans="1:7" ht="1.2" customHeight="1" thickBot="1" x14ac:dyDescent="0.35"/>
    <row r="22" spans="1:7" ht="22.8" customHeight="1" x14ac:dyDescent="0.3">
      <c r="A22" s="459"/>
      <c r="B22" s="460"/>
      <c r="C22" s="461"/>
      <c r="E22" s="459"/>
      <c r="F22" s="460"/>
      <c r="G22" s="461"/>
    </row>
    <row r="23" spans="1:7" ht="36.6" customHeight="1" x14ac:dyDescent="0.3">
      <c r="A23" s="254"/>
      <c r="B23" s="259"/>
      <c r="C23" s="302"/>
      <c r="D23" s="303"/>
      <c r="E23" s="304"/>
      <c r="F23" s="259"/>
      <c r="G23" s="255"/>
    </row>
    <row r="24" spans="1:7" ht="72" customHeight="1" x14ac:dyDescent="0.3">
      <c r="A24" s="254"/>
      <c r="B24" s="289"/>
      <c r="C24" s="295"/>
      <c r="D24" s="296"/>
      <c r="E24" s="297"/>
      <c r="F24" s="289"/>
      <c r="G24" s="255"/>
    </row>
    <row r="25" spans="1:7" ht="23.4" customHeight="1" thickBot="1" x14ac:dyDescent="0.35">
      <c r="A25" s="244"/>
      <c r="B25" s="298"/>
      <c r="C25" s="299"/>
      <c r="E25" s="300"/>
      <c r="F25" s="298"/>
      <c r="G25" s="246"/>
    </row>
    <row r="40" spans="11:11" x14ac:dyDescent="0.3">
      <c r="K40" s="107" t="s">
        <v>382</v>
      </c>
    </row>
  </sheetData>
  <mergeCells count="10">
    <mergeCell ref="A17:C17"/>
    <mergeCell ref="E17:G17"/>
    <mergeCell ref="A22:C22"/>
    <mergeCell ref="E22:G22"/>
    <mergeCell ref="A2:C2"/>
    <mergeCell ref="E2:G2"/>
    <mergeCell ref="A7:C7"/>
    <mergeCell ref="E7:G7"/>
    <mergeCell ref="A12:C12"/>
    <mergeCell ref="E12:G12"/>
  </mergeCells>
  <pageMargins left="0.11811023622047245" right="0.11811023622047245" top="0.15748031496062992" bottom="0.15748031496062992" header="0.31496062992125984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41A71-B3A5-4F88-8A9C-8FD4C07C2057}">
  <dimension ref="A2:M96"/>
  <sheetViews>
    <sheetView zoomScale="70" zoomScaleNormal="70" workbookViewId="0">
      <selection activeCell="B4" sqref="B4"/>
    </sheetView>
  </sheetViews>
  <sheetFormatPr defaultRowHeight="15.6" x14ac:dyDescent="0.3"/>
  <cols>
    <col min="1" max="8" width="16.21875" style="180" customWidth="1"/>
    <col min="12" max="13" width="25.44140625" customWidth="1"/>
  </cols>
  <sheetData>
    <row r="2" spans="1:13" ht="16.2" thickBot="1" x14ac:dyDescent="0.35"/>
    <row r="3" spans="1:13" ht="48.6" customHeight="1" x14ac:dyDescent="0.3">
      <c r="A3" s="179" t="s">
        <v>436</v>
      </c>
      <c r="B3" s="179" t="s">
        <v>437</v>
      </c>
      <c r="C3" s="179" t="s">
        <v>438</v>
      </c>
      <c r="D3" s="179" t="s">
        <v>439</v>
      </c>
      <c r="E3" s="179" t="s">
        <v>440</v>
      </c>
      <c r="F3" s="179" t="s">
        <v>441</v>
      </c>
      <c r="G3" s="179" t="s">
        <v>442</v>
      </c>
      <c r="H3" s="179" t="s">
        <v>443</v>
      </c>
      <c r="J3" s="54">
        <v>1</v>
      </c>
      <c r="K3" s="55">
        <v>1</v>
      </c>
      <c r="L3" s="128" t="s">
        <v>351</v>
      </c>
      <c r="M3" s="57" t="s">
        <v>25</v>
      </c>
    </row>
    <row r="4" spans="1:13" ht="49.8" customHeight="1" x14ac:dyDescent="0.3">
      <c r="A4" s="179" t="s">
        <v>444</v>
      </c>
      <c r="B4" s="179" t="s">
        <v>445</v>
      </c>
      <c r="C4" s="179" t="s">
        <v>446</v>
      </c>
      <c r="D4" s="179" t="s">
        <v>447</v>
      </c>
      <c r="E4" s="192" t="s">
        <v>448</v>
      </c>
      <c r="F4" s="192" t="s">
        <v>449</v>
      </c>
      <c r="G4" s="192" t="s">
        <v>450</v>
      </c>
      <c r="H4" s="179"/>
      <c r="J4" s="59"/>
      <c r="K4" s="5"/>
      <c r="L4" s="23" t="s">
        <v>352</v>
      </c>
      <c r="M4" s="46" t="s">
        <v>26</v>
      </c>
    </row>
    <row r="5" spans="1:13" ht="49.8" customHeight="1" x14ac:dyDescent="0.3">
      <c r="A5" s="179" t="s">
        <v>435</v>
      </c>
      <c r="B5" s="179" t="s">
        <v>451</v>
      </c>
      <c r="C5" s="179" t="s">
        <v>452</v>
      </c>
      <c r="D5" s="188" t="s">
        <v>434</v>
      </c>
      <c r="E5" s="188" t="s">
        <v>453</v>
      </c>
      <c r="F5" s="188" t="s">
        <v>454</v>
      </c>
      <c r="G5" s="188" t="s">
        <v>455</v>
      </c>
      <c r="H5" s="188" t="s">
        <v>456</v>
      </c>
      <c r="J5" s="59">
        <v>2</v>
      </c>
      <c r="K5" s="5">
        <v>2</v>
      </c>
      <c r="L5" s="29" t="s">
        <v>350</v>
      </c>
      <c r="M5" s="45" t="s">
        <v>30</v>
      </c>
    </row>
    <row r="6" spans="1:13" ht="49.8" customHeight="1" x14ac:dyDescent="0.3">
      <c r="A6" s="188" t="s">
        <v>457</v>
      </c>
      <c r="B6" s="188" t="s">
        <v>458</v>
      </c>
      <c r="C6" s="188" t="s">
        <v>459</v>
      </c>
      <c r="D6" s="188" t="s">
        <v>460</v>
      </c>
      <c r="E6" s="179" t="s">
        <v>613</v>
      </c>
      <c r="F6" s="188" t="s">
        <v>461</v>
      </c>
      <c r="G6" s="179" t="s">
        <v>462</v>
      </c>
      <c r="H6" s="181"/>
      <c r="J6" s="59">
        <f>J5+1</f>
        <v>3</v>
      </c>
      <c r="K6" s="5">
        <v>3</v>
      </c>
      <c r="L6" s="29" t="s">
        <v>187</v>
      </c>
      <c r="M6" s="47" t="s">
        <v>345</v>
      </c>
    </row>
    <row r="7" spans="1:13" ht="49.8" customHeight="1" x14ac:dyDescent="0.3">
      <c r="A7" s="188" t="s">
        <v>463</v>
      </c>
      <c r="B7" s="188" t="s">
        <v>464</v>
      </c>
      <c r="C7" s="188" t="s">
        <v>465</v>
      </c>
      <c r="D7" s="188" t="s">
        <v>466</v>
      </c>
      <c r="E7" s="188" t="s">
        <v>467</v>
      </c>
      <c r="F7" s="188" t="s">
        <v>468</v>
      </c>
      <c r="G7" s="188" t="s">
        <v>469</v>
      </c>
      <c r="H7" s="188" t="s">
        <v>470</v>
      </c>
      <c r="J7" s="59">
        <f t="shared" ref="J7:J12" si="0">J6+1</f>
        <v>4</v>
      </c>
      <c r="K7" s="5">
        <v>4</v>
      </c>
      <c r="L7" s="29" t="s">
        <v>211</v>
      </c>
      <c r="M7" s="45" t="s">
        <v>345</v>
      </c>
    </row>
    <row r="8" spans="1:13" ht="49.8" customHeight="1" x14ac:dyDescent="0.3">
      <c r="A8" s="188" t="s">
        <v>471</v>
      </c>
      <c r="B8" s="188" t="s">
        <v>472</v>
      </c>
      <c r="C8" s="188" t="s">
        <v>473</v>
      </c>
      <c r="D8" s="188" t="s">
        <v>474</v>
      </c>
      <c r="E8" s="188" t="s">
        <v>475</v>
      </c>
      <c r="F8" s="188" t="s">
        <v>476</v>
      </c>
      <c r="G8" s="188" t="s">
        <v>477</v>
      </c>
      <c r="H8" s="188" t="s">
        <v>478</v>
      </c>
      <c r="J8" s="59">
        <f t="shared" si="0"/>
        <v>5</v>
      </c>
      <c r="K8" s="5">
        <v>5</v>
      </c>
      <c r="L8" s="29" t="s">
        <v>212</v>
      </c>
      <c r="M8" s="45" t="s">
        <v>344</v>
      </c>
    </row>
    <row r="9" spans="1:13" ht="49.8" customHeight="1" x14ac:dyDescent="0.3">
      <c r="A9" s="189" t="s">
        <v>480</v>
      </c>
      <c r="B9" s="190" t="s">
        <v>479</v>
      </c>
      <c r="C9" s="189" t="s">
        <v>481</v>
      </c>
      <c r="D9" s="189" t="s">
        <v>497</v>
      </c>
      <c r="E9" s="189" t="s">
        <v>482</v>
      </c>
      <c r="F9" s="189" t="s">
        <v>483</v>
      </c>
      <c r="G9" s="189" t="s">
        <v>484</v>
      </c>
      <c r="H9" s="189" t="s">
        <v>485</v>
      </c>
      <c r="J9" s="59">
        <f t="shared" si="0"/>
        <v>6</v>
      </c>
      <c r="K9" s="5">
        <v>6</v>
      </c>
      <c r="L9" s="29" t="s">
        <v>349</v>
      </c>
      <c r="M9" s="45" t="s">
        <v>22</v>
      </c>
    </row>
    <row r="10" spans="1:13" ht="49.8" customHeight="1" x14ac:dyDescent="0.3">
      <c r="A10" s="189" t="s">
        <v>486</v>
      </c>
      <c r="B10" s="189" t="s">
        <v>487</v>
      </c>
      <c r="C10" s="189" t="s">
        <v>488</v>
      </c>
      <c r="D10" s="191" t="s">
        <v>489</v>
      </c>
      <c r="E10" s="189" t="s">
        <v>490</v>
      </c>
      <c r="F10" s="189" t="s">
        <v>491</v>
      </c>
      <c r="G10" s="191" t="s">
        <v>492</v>
      </c>
      <c r="H10" s="189" t="s">
        <v>493</v>
      </c>
      <c r="J10" s="59">
        <f t="shared" si="0"/>
        <v>7</v>
      </c>
      <c r="K10" s="5">
        <v>7</v>
      </c>
      <c r="L10" s="29" t="s">
        <v>353</v>
      </c>
      <c r="M10" s="45" t="s">
        <v>23</v>
      </c>
    </row>
    <row r="11" spans="1:13" ht="49.8" customHeight="1" x14ac:dyDescent="0.3">
      <c r="A11" s="179"/>
      <c r="C11" s="193"/>
      <c r="D11" s="193"/>
      <c r="G11" s="193"/>
      <c r="H11" s="193"/>
      <c r="J11" s="59">
        <f t="shared" si="0"/>
        <v>8</v>
      </c>
      <c r="K11" s="5">
        <v>8</v>
      </c>
      <c r="L11" s="29" t="s">
        <v>237</v>
      </c>
      <c r="M11" s="48" t="s">
        <v>173</v>
      </c>
    </row>
    <row r="12" spans="1:13" x14ac:dyDescent="0.3">
      <c r="J12" s="59">
        <f t="shared" si="0"/>
        <v>9</v>
      </c>
      <c r="K12" s="5">
        <v>9</v>
      </c>
      <c r="L12" s="29" t="s">
        <v>239</v>
      </c>
      <c r="M12" s="49" t="s">
        <v>240</v>
      </c>
    </row>
    <row r="13" spans="1:13" x14ac:dyDescent="0.3">
      <c r="J13" s="59"/>
      <c r="K13" s="5"/>
      <c r="L13" s="41" t="s">
        <v>174</v>
      </c>
      <c r="M13" s="40" t="s">
        <v>173</v>
      </c>
    </row>
    <row r="14" spans="1:13" x14ac:dyDescent="0.3">
      <c r="J14" s="59">
        <v>10</v>
      </c>
      <c r="K14" s="5">
        <v>10</v>
      </c>
      <c r="L14" s="29" t="s">
        <v>338</v>
      </c>
      <c r="M14" s="48" t="s">
        <v>336</v>
      </c>
    </row>
    <row r="15" spans="1:13" ht="16.2" thickBot="1" x14ac:dyDescent="0.35">
      <c r="J15" s="61">
        <v>11</v>
      </c>
      <c r="K15" s="62">
        <v>11</v>
      </c>
      <c r="L15" s="63" t="s">
        <v>347</v>
      </c>
      <c r="M15" s="64" t="s">
        <v>346</v>
      </c>
    </row>
    <row r="16" spans="1:13" ht="16.8" thickBot="1" x14ac:dyDescent="0.35">
      <c r="J16" s="440" t="s">
        <v>354</v>
      </c>
      <c r="K16" s="441"/>
      <c r="L16" s="441"/>
      <c r="M16" s="441"/>
    </row>
    <row r="17" spans="10:13" x14ac:dyDescent="0.3">
      <c r="J17" s="54">
        <v>12</v>
      </c>
      <c r="K17" s="55">
        <v>1</v>
      </c>
      <c r="L17" s="182" t="s">
        <v>189</v>
      </c>
      <c r="M17" s="97" t="s">
        <v>188</v>
      </c>
    </row>
    <row r="18" spans="10:13" ht="24" x14ac:dyDescent="0.3">
      <c r="J18" s="59">
        <f>J17+1</f>
        <v>13</v>
      </c>
      <c r="K18" s="5">
        <v>2</v>
      </c>
      <c r="L18" s="183" t="s">
        <v>284</v>
      </c>
      <c r="M18" s="45" t="s">
        <v>286</v>
      </c>
    </row>
    <row r="19" spans="10:13" x14ac:dyDescent="0.3">
      <c r="J19" s="59">
        <f t="shared" ref="J19:J28" si="1">J18+1</f>
        <v>14</v>
      </c>
      <c r="K19" s="5">
        <v>3</v>
      </c>
      <c r="L19" s="183" t="s">
        <v>183</v>
      </c>
      <c r="M19" s="45" t="s">
        <v>185</v>
      </c>
    </row>
    <row r="20" spans="10:13" x14ac:dyDescent="0.3">
      <c r="J20" s="59">
        <f t="shared" si="1"/>
        <v>15</v>
      </c>
      <c r="K20" s="5">
        <v>4</v>
      </c>
      <c r="L20" s="183" t="s">
        <v>332</v>
      </c>
      <c r="M20" s="45" t="s">
        <v>114</v>
      </c>
    </row>
    <row r="21" spans="10:13" ht="24" x14ac:dyDescent="0.3">
      <c r="J21" s="59">
        <f t="shared" si="1"/>
        <v>16</v>
      </c>
      <c r="K21" s="5">
        <v>5</v>
      </c>
      <c r="L21" s="183" t="s">
        <v>192</v>
      </c>
      <c r="M21" s="47" t="s">
        <v>194</v>
      </c>
    </row>
    <row r="22" spans="10:13" x14ac:dyDescent="0.3">
      <c r="J22" s="59">
        <f t="shared" si="1"/>
        <v>17</v>
      </c>
      <c r="K22" s="5">
        <v>6</v>
      </c>
      <c r="L22" s="183" t="s">
        <v>252</v>
      </c>
      <c r="M22" s="47" t="s">
        <v>250</v>
      </c>
    </row>
    <row r="23" spans="10:13" x14ac:dyDescent="0.3">
      <c r="J23" s="59">
        <f t="shared" si="1"/>
        <v>18</v>
      </c>
      <c r="K23" s="5">
        <v>7</v>
      </c>
      <c r="L23" s="183" t="s">
        <v>180</v>
      </c>
      <c r="M23" s="98" t="s">
        <v>181</v>
      </c>
    </row>
    <row r="24" spans="10:13" x14ac:dyDescent="0.3">
      <c r="J24" s="59">
        <f t="shared" si="1"/>
        <v>19</v>
      </c>
      <c r="K24" s="5">
        <v>8</v>
      </c>
      <c r="L24" s="183" t="s">
        <v>230</v>
      </c>
      <c r="M24" s="48" t="s">
        <v>226</v>
      </c>
    </row>
    <row r="25" spans="10:13" x14ac:dyDescent="0.3">
      <c r="J25" s="59">
        <f t="shared" si="1"/>
        <v>20</v>
      </c>
      <c r="K25" s="5">
        <v>9</v>
      </c>
      <c r="L25" s="183" t="s">
        <v>259</v>
      </c>
      <c r="M25" s="45" t="s">
        <v>260</v>
      </c>
    </row>
    <row r="26" spans="10:13" ht="24" x14ac:dyDescent="0.3">
      <c r="J26" s="59">
        <f t="shared" si="1"/>
        <v>21</v>
      </c>
      <c r="K26" s="5">
        <v>10</v>
      </c>
      <c r="L26" s="183" t="s">
        <v>234</v>
      </c>
      <c r="M26" s="45" t="s">
        <v>233</v>
      </c>
    </row>
    <row r="27" spans="10:13" ht="36" x14ac:dyDescent="0.3">
      <c r="J27" s="59">
        <f t="shared" si="1"/>
        <v>22</v>
      </c>
      <c r="K27" s="5">
        <v>11</v>
      </c>
      <c r="L27" s="183" t="s">
        <v>258</v>
      </c>
      <c r="M27" s="45" t="s">
        <v>241</v>
      </c>
    </row>
    <row r="28" spans="10:13" ht="24.6" thickBot="1" x14ac:dyDescent="0.35">
      <c r="J28" s="61">
        <f t="shared" si="1"/>
        <v>23</v>
      </c>
      <c r="K28" s="62">
        <v>12</v>
      </c>
      <c r="L28" s="184" t="s">
        <v>272</v>
      </c>
      <c r="M28" s="99" t="s">
        <v>18</v>
      </c>
    </row>
    <row r="29" spans="10:13" ht="16.8" thickBot="1" x14ac:dyDescent="0.35">
      <c r="J29" s="440" t="s">
        <v>355</v>
      </c>
      <c r="K29" s="441"/>
      <c r="L29" s="441"/>
      <c r="M29" s="441"/>
    </row>
    <row r="30" spans="10:13" x14ac:dyDescent="0.3">
      <c r="J30" s="111">
        <v>24</v>
      </c>
      <c r="K30" s="51">
        <v>1</v>
      </c>
      <c r="L30" s="185" t="s">
        <v>360</v>
      </c>
      <c r="M30" s="101" t="s">
        <v>45</v>
      </c>
    </row>
    <row r="31" spans="10:13" x14ac:dyDescent="0.3">
      <c r="J31" s="59">
        <v>25</v>
      </c>
      <c r="K31" s="5">
        <v>2</v>
      </c>
      <c r="L31" s="183" t="s">
        <v>312</v>
      </c>
      <c r="M31" s="45" t="s">
        <v>20</v>
      </c>
    </row>
    <row r="32" spans="10:13" ht="16.2" thickBot="1" x14ac:dyDescent="0.35">
      <c r="J32" s="109">
        <v>26</v>
      </c>
      <c r="K32" s="50">
        <v>3</v>
      </c>
      <c r="L32" s="186" t="s">
        <v>216</v>
      </c>
      <c r="M32" s="100" t="s">
        <v>217</v>
      </c>
    </row>
    <row r="33" spans="10:13" ht="16.8" thickBot="1" x14ac:dyDescent="0.35">
      <c r="J33" s="440" t="s">
        <v>356</v>
      </c>
      <c r="K33" s="441"/>
      <c r="L33" s="441"/>
      <c r="M33" s="441"/>
    </row>
    <row r="34" spans="10:13" ht="48" x14ac:dyDescent="0.3">
      <c r="J34" s="111">
        <v>27</v>
      </c>
      <c r="K34" s="51">
        <v>1</v>
      </c>
      <c r="L34" s="86" t="s">
        <v>319</v>
      </c>
      <c r="M34" s="101" t="s">
        <v>320</v>
      </c>
    </row>
    <row r="35" spans="10:13" ht="24" x14ac:dyDescent="0.3">
      <c r="J35" s="59">
        <v>28</v>
      </c>
      <c r="K35" s="5">
        <v>2</v>
      </c>
      <c r="L35" s="3" t="s">
        <v>275</v>
      </c>
      <c r="M35" s="45" t="s">
        <v>276</v>
      </c>
    </row>
    <row r="36" spans="10:13" ht="24.6" thickBot="1" x14ac:dyDescent="0.35">
      <c r="J36" s="109">
        <v>29</v>
      </c>
      <c r="K36" s="50">
        <v>3</v>
      </c>
      <c r="L36" s="78" t="s">
        <v>93</v>
      </c>
      <c r="M36" s="100" t="s">
        <v>92</v>
      </c>
    </row>
    <row r="37" spans="10:13" ht="16.8" thickBot="1" x14ac:dyDescent="0.35">
      <c r="J37" s="440" t="s">
        <v>357</v>
      </c>
      <c r="K37" s="441"/>
      <c r="L37" s="441"/>
      <c r="M37" s="441"/>
    </row>
    <row r="38" spans="10:13" ht="24" x14ac:dyDescent="0.3">
      <c r="J38" s="111">
        <v>30</v>
      </c>
      <c r="K38" s="51">
        <v>1</v>
      </c>
      <c r="L38" s="19" t="s">
        <v>225</v>
      </c>
      <c r="M38" s="4" t="s">
        <v>33</v>
      </c>
    </row>
    <row r="39" spans="10:13" ht="24" x14ac:dyDescent="0.3">
      <c r="J39" s="59">
        <f>J38+1</f>
        <v>31</v>
      </c>
      <c r="K39" s="5">
        <v>2</v>
      </c>
      <c r="L39" s="19" t="s">
        <v>214</v>
      </c>
      <c r="M39" s="4" t="s">
        <v>33</v>
      </c>
    </row>
    <row r="40" spans="10:13" ht="24" x14ac:dyDescent="0.3">
      <c r="J40" s="59">
        <f t="shared" ref="J40:J46" si="2">J39+1</f>
        <v>32</v>
      </c>
      <c r="K40" s="51">
        <v>3</v>
      </c>
      <c r="L40" s="19" t="s">
        <v>131</v>
      </c>
      <c r="M40" s="4" t="s">
        <v>36</v>
      </c>
    </row>
    <row r="41" spans="10:13" ht="24" x14ac:dyDescent="0.3">
      <c r="J41" s="59">
        <f t="shared" si="2"/>
        <v>33</v>
      </c>
      <c r="K41" s="5">
        <v>4</v>
      </c>
      <c r="L41" s="19" t="s">
        <v>223</v>
      </c>
      <c r="M41" s="4" t="s">
        <v>36</v>
      </c>
    </row>
    <row r="42" spans="10:13" ht="24" x14ac:dyDescent="0.3">
      <c r="J42" s="59">
        <f t="shared" si="2"/>
        <v>34</v>
      </c>
      <c r="K42" s="51">
        <v>5</v>
      </c>
      <c r="L42" s="3" t="s">
        <v>220</v>
      </c>
      <c r="M42" s="6" t="s">
        <v>219</v>
      </c>
    </row>
    <row r="43" spans="10:13" ht="24" x14ac:dyDescent="0.3">
      <c r="J43" s="59">
        <f t="shared" si="2"/>
        <v>35</v>
      </c>
      <c r="K43" s="5">
        <v>6</v>
      </c>
      <c r="L43" s="3" t="s">
        <v>177</v>
      </c>
      <c r="M43" s="4" t="s">
        <v>175</v>
      </c>
    </row>
    <row r="44" spans="10:13" ht="24" x14ac:dyDescent="0.3">
      <c r="J44" s="59">
        <f t="shared" si="2"/>
        <v>36</v>
      </c>
      <c r="K44" s="51">
        <v>7</v>
      </c>
      <c r="L44" s="3" t="s">
        <v>146</v>
      </c>
      <c r="M44" s="4" t="s">
        <v>68</v>
      </c>
    </row>
    <row r="45" spans="10:13" ht="24" x14ac:dyDescent="0.3">
      <c r="J45" s="59">
        <f t="shared" si="2"/>
        <v>37</v>
      </c>
      <c r="K45" s="5">
        <v>8</v>
      </c>
      <c r="L45" s="3" t="s">
        <v>201</v>
      </c>
      <c r="M45" s="6" t="s">
        <v>175</v>
      </c>
    </row>
    <row r="46" spans="10:13" ht="24" x14ac:dyDescent="0.3">
      <c r="J46" s="59">
        <f t="shared" si="2"/>
        <v>38</v>
      </c>
      <c r="K46" s="51">
        <v>9</v>
      </c>
      <c r="L46" s="3" t="s">
        <v>204</v>
      </c>
      <c r="M46" s="6" t="s">
        <v>175</v>
      </c>
    </row>
    <row r="47" spans="10:13" ht="24" x14ac:dyDescent="0.3">
      <c r="J47" s="59"/>
      <c r="K47" s="5">
        <v>10</v>
      </c>
      <c r="L47" s="5"/>
      <c r="M47" s="4" t="s">
        <v>150</v>
      </c>
    </row>
    <row r="48" spans="10:13" x14ac:dyDescent="0.3">
      <c r="J48" s="59"/>
      <c r="K48" s="5">
        <v>11</v>
      </c>
      <c r="L48" s="39" t="s">
        <v>224</v>
      </c>
      <c r="M48" s="93" t="s">
        <v>50</v>
      </c>
    </row>
    <row r="49" spans="10:13" ht="16.2" thickBot="1" x14ac:dyDescent="0.35">
      <c r="J49" s="109"/>
      <c r="K49" s="50">
        <v>12</v>
      </c>
      <c r="L49" s="95" t="s">
        <v>71</v>
      </c>
      <c r="M49" s="96" t="s">
        <v>70</v>
      </c>
    </row>
    <row r="50" spans="10:13" ht="16.8" thickBot="1" x14ac:dyDescent="0.4">
      <c r="J50" s="434" t="s">
        <v>359</v>
      </c>
      <c r="K50" s="435"/>
      <c r="L50" s="435"/>
      <c r="M50" s="435"/>
    </row>
    <row r="51" spans="10:13" x14ac:dyDescent="0.3">
      <c r="J51" s="111">
        <v>39</v>
      </c>
      <c r="K51" s="51">
        <v>1</v>
      </c>
      <c r="L51" s="3" t="s">
        <v>385</v>
      </c>
      <c r="M51" s="4" t="s">
        <v>28</v>
      </c>
    </row>
    <row r="52" spans="10:13" ht="24.6" thickBot="1" x14ac:dyDescent="0.35">
      <c r="J52" s="109">
        <v>40</v>
      </c>
      <c r="K52" s="50">
        <v>2</v>
      </c>
      <c r="L52" s="3" t="s">
        <v>74</v>
      </c>
      <c r="M52" s="4" t="s">
        <v>361</v>
      </c>
    </row>
    <row r="53" spans="10:13" ht="16.8" thickBot="1" x14ac:dyDescent="0.4">
      <c r="J53" s="434" t="s">
        <v>362</v>
      </c>
      <c r="K53" s="435"/>
      <c r="L53" s="435"/>
      <c r="M53" s="435"/>
    </row>
    <row r="54" spans="10:13" x14ac:dyDescent="0.3">
      <c r="J54" s="111">
        <v>41</v>
      </c>
      <c r="K54" s="51">
        <v>1</v>
      </c>
      <c r="L54" s="3" t="s">
        <v>329</v>
      </c>
      <c r="M54" s="32" t="s">
        <v>266</v>
      </c>
    </row>
    <row r="55" spans="10:13" x14ac:dyDescent="0.3">
      <c r="J55" s="113">
        <v>42</v>
      </c>
      <c r="K55" s="65">
        <v>2</v>
      </c>
      <c r="L55" s="3" t="s">
        <v>264</v>
      </c>
      <c r="M55" s="79" t="s">
        <v>391</v>
      </c>
    </row>
    <row r="56" spans="10:13" ht="16.2" thickBot="1" x14ac:dyDescent="0.35">
      <c r="J56" s="109">
        <v>43</v>
      </c>
      <c r="K56" s="50">
        <v>3</v>
      </c>
      <c r="L56" s="112"/>
      <c r="M56" s="4" t="s">
        <v>198</v>
      </c>
    </row>
    <row r="57" spans="10:13" ht="16.8" thickBot="1" x14ac:dyDescent="0.4">
      <c r="J57" s="434" t="s">
        <v>363</v>
      </c>
      <c r="K57" s="435"/>
      <c r="L57" s="435"/>
      <c r="M57" s="435"/>
    </row>
    <row r="58" spans="10:13" ht="24" x14ac:dyDescent="0.3">
      <c r="J58" s="111">
        <v>44</v>
      </c>
      <c r="K58" s="51">
        <v>1</v>
      </c>
      <c r="L58" s="3" t="s">
        <v>364</v>
      </c>
      <c r="M58" s="4" t="s">
        <v>89</v>
      </c>
    </row>
    <row r="59" spans="10:13" ht="24" x14ac:dyDescent="0.3">
      <c r="J59" s="111">
        <v>45</v>
      </c>
      <c r="K59" s="51">
        <v>2</v>
      </c>
      <c r="L59" s="3" t="s">
        <v>310</v>
      </c>
      <c r="M59" s="4" t="s">
        <v>89</v>
      </c>
    </row>
    <row r="60" spans="10:13" ht="24.6" thickBot="1" x14ac:dyDescent="0.35">
      <c r="J60" s="113">
        <v>46</v>
      </c>
      <c r="K60" s="65">
        <v>3</v>
      </c>
      <c r="L60" s="78" t="s">
        <v>293</v>
      </c>
      <c r="M60" s="79" t="s">
        <v>82</v>
      </c>
    </row>
    <row r="61" spans="10:13" ht="16.8" thickBot="1" x14ac:dyDescent="0.35">
      <c r="J61" s="445" t="s">
        <v>365</v>
      </c>
      <c r="K61" s="446"/>
      <c r="L61" s="446"/>
      <c r="M61" s="446"/>
    </row>
    <row r="62" spans="10:13" ht="24" x14ac:dyDescent="0.3">
      <c r="J62" s="111">
        <v>47</v>
      </c>
      <c r="K62" s="51">
        <v>1</v>
      </c>
      <c r="L62" s="86" t="s">
        <v>170</v>
      </c>
      <c r="M62" s="104" t="s">
        <v>169</v>
      </c>
    </row>
    <row r="63" spans="10:13" ht="24.6" thickBot="1" x14ac:dyDescent="0.35">
      <c r="J63" s="113">
        <v>48</v>
      </c>
      <c r="K63" s="65">
        <v>2</v>
      </c>
      <c r="L63" s="78" t="s">
        <v>281</v>
      </c>
      <c r="M63" s="79" t="s">
        <v>62</v>
      </c>
    </row>
    <row r="64" spans="10:13" ht="16.8" thickBot="1" x14ac:dyDescent="0.4">
      <c r="J64" s="434" t="s">
        <v>366</v>
      </c>
      <c r="K64" s="435"/>
      <c r="L64" s="435"/>
      <c r="M64" s="435"/>
    </row>
    <row r="65" spans="10:13" x14ac:dyDescent="0.3">
      <c r="J65" s="111">
        <v>49</v>
      </c>
      <c r="K65" s="51">
        <v>1</v>
      </c>
      <c r="L65" s="3" t="s">
        <v>243</v>
      </c>
      <c r="M65" s="4" t="s">
        <v>85</v>
      </c>
    </row>
    <row r="66" spans="10:13" ht="24" x14ac:dyDescent="0.3">
      <c r="J66" s="111"/>
      <c r="K66" s="51"/>
      <c r="L66" s="11"/>
      <c r="M66" s="147" t="s">
        <v>420</v>
      </c>
    </row>
    <row r="67" spans="10:13" ht="24" x14ac:dyDescent="0.3">
      <c r="J67" s="111">
        <f>J65+1</f>
        <v>50</v>
      </c>
      <c r="K67" s="51">
        <v>2</v>
      </c>
      <c r="L67" s="3" t="s">
        <v>255</v>
      </c>
      <c r="M67" s="4" t="s">
        <v>87</v>
      </c>
    </row>
    <row r="68" spans="10:13" ht="24" x14ac:dyDescent="0.3">
      <c r="J68" s="111">
        <f>J67+1</f>
        <v>51</v>
      </c>
      <c r="K68" s="51">
        <v>3</v>
      </c>
      <c r="L68" s="3" t="s">
        <v>157</v>
      </c>
      <c r="M68" s="4" t="s">
        <v>159</v>
      </c>
    </row>
    <row r="69" spans="10:13" ht="24.6" thickBot="1" x14ac:dyDescent="0.35">
      <c r="J69" s="111">
        <f>J68+1</f>
        <v>52</v>
      </c>
      <c r="K69" s="51">
        <v>4</v>
      </c>
      <c r="L69" s="3" t="s">
        <v>119</v>
      </c>
      <c r="M69" s="4" t="s">
        <v>64</v>
      </c>
    </row>
    <row r="70" spans="10:13" ht="16.8" thickBot="1" x14ac:dyDescent="0.4">
      <c r="J70" s="434" t="s">
        <v>367</v>
      </c>
      <c r="K70" s="435"/>
      <c r="L70" s="435"/>
      <c r="M70" s="435"/>
    </row>
    <row r="71" spans="10:13" ht="24" x14ac:dyDescent="0.3">
      <c r="J71" s="111">
        <v>53</v>
      </c>
      <c r="K71" s="51">
        <v>1</v>
      </c>
      <c r="L71" s="3" t="s">
        <v>143</v>
      </c>
      <c r="M71" s="4" t="s">
        <v>144</v>
      </c>
    </row>
    <row r="72" spans="10:13" ht="24" x14ac:dyDescent="0.3">
      <c r="J72" s="111">
        <f t="shared" ref="J72:J77" si="3">J71+1</f>
        <v>54</v>
      </c>
      <c r="K72" s="51">
        <v>2</v>
      </c>
      <c r="L72" s="3" t="s">
        <v>334</v>
      </c>
      <c r="M72" s="4" t="s">
        <v>48</v>
      </c>
    </row>
    <row r="73" spans="10:13" ht="24" x14ac:dyDescent="0.3">
      <c r="J73" s="111">
        <f t="shared" si="3"/>
        <v>55</v>
      </c>
      <c r="K73" s="51">
        <v>3</v>
      </c>
      <c r="L73" s="3" t="s">
        <v>370</v>
      </c>
      <c r="M73" s="4" t="s">
        <v>368</v>
      </c>
    </row>
    <row r="74" spans="10:13" ht="24" x14ac:dyDescent="0.3">
      <c r="J74" s="111">
        <f t="shared" si="3"/>
        <v>56</v>
      </c>
      <c r="K74" s="51">
        <v>4</v>
      </c>
      <c r="L74" s="3" t="s">
        <v>371</v>
      </c>
      <c r="M74" s="4" t="s">
        <v>369</v>
      </c>
    </row>
    <row r="75" spans="10:13" x14ac:dyDescent="0.3">
      <c r="J75" s="111">
        <f t="shared" si="3"/>
        <v>57</v>
      </c>
      <c r="K75" s="51">
        <v>5</v>
      </c>
      <c r="L75" s="3" t="s">
        <v>140</v>
      </c>
      <c r="M75" s="4" t="s">
        <v>84</v>
      </c>
    </row>
    <row r="76" spans="10:13" ht="24" x14ac:dyDescent="0.3">
      <c r="J76" s="111">
        <f t="shared" si="3"/>
        <v>58</v>
      </c>
      <c r="K76" s="51">
        <v>6</v>
      </c>
      <c r="L76" s="3" t="s">
        <v>373</v>
      </c>
      <c r="M76" s="4" t="s">
        <v>72</v>
      </c>
    </row>
    <row r="77" spans="10:13" ht="16.2" thickBot="1" x14ac:dyDescent="0.35">
      <c r="J77" s="111">
        <f t="shared" si="3"/>
        <v>59</v>
      </c>
      <c r="K77" s="65">
        <v>7</v>
      </c>
      <c r="L77" s="3" t="s">
        <v>423</v>
      </c>
      <c r="M77" s="6" t="s">
        <v>127</v>
      </c>
    </row>
    <row r="78" spans="10:13" ht="16.8" thickBot="1" x14ac:dyDescent="0.4">
      <c r="J78" s="434" t="s">
        <v>372</v>
      </c>
      <c r="K78" s="435"/>
      <c r="L78" s="435"/>
      <c r="M78" s="435"/>
    </row>
    <row r="79" spans="10:13" ht="24" x14ac:dyDescent="0.3">
      <c r="J79" s="111">
        <v>60</v>
      </c>
      <c r="K79" s="51">
        <v>1</v>
      </c>
      <c r="L79" s="3" t="s">
        <v>335</v>
      </c>
      <c r="M79" s="4" t="s">
        <v>52</v>
      </c>
    </row>
    <row r="80" spans="10:13" ht="24" x14ac:dyDescent="0.3">
      <c r="J80" s="111">
        <f>J79+1</f>
        <v>61</v>
      </c>
      <c r="K80" s="51">
        <v>2</v>
      </c>
      <c r="L80" s="3" t="s">
        <v>122</v>
      </c>
      <c r="M80" s="4" t="s">
        <v>269</v>
      </c>
    </row>
    <row r="81" spans="10:13" ht="24" x14ac:dyDescent="0.3">
      <c r="J81" s="111">
        <f t="shared" ref="J81:J87" si="4">J80+1</f>
        <v>62</v>
      </c>
      <c r="K81" s="51">
        <v>3</v>
      </c>
      <c r="L81" s="3" t="s">
        <v>271</v>
      </c>
      <c r="M81" s="4" t="s">
        <v>269</v>
      </c>
    </row>
    <row r="82" spans="10:13" ht="24" x14ac:dyDescent="0.3">
      <c r="J82" s="111">
        <f t="shared" si="4"/>
        <v>63</v>
      </c>
      <c r="K82" s="51">
        <v>4</v>
      </c>
      <c r="L82" s="3" t="s">
        <v>247</v>
      </c>
      <c r="M82" s="4" t="s">
        <v>56</v>
      </c>
    </row>
    <row r="83" spans="10:13" ht="24" x14ac:dyDescent="0.3">
      <c r="J83" s="111">
        <f t="shared" si="4"/>
        <v>64</v>
      </c>
      <c r="K83" s="51">
        <v>5</v>
      </c>
      <c r="L83" s="3" t="s">
        <v>374</v>
      </c>
      <c r="M83" s="4" t="s">
        <v>58</v>
      </c>
    </row>
    <row r="84" spans="10:13" ht="24" x14ac:dyDescent="0.3">
      <c r="J84" s="111">
        <f t="shared" si="4"/>
        <v>65</v>
      </c>
      <c r="K84" s="51">
        <v>6</v>
      </c>
      <c r="L84" s="3" t="s">
        <v>375</v>
      </c>
      <c r="M84" s="4" t="s">
        <v>60</v>
      </c>
    </row>
    <row r="85" spans="10:13" ht="36" x14ac:dyDescent="0.3">
      <c r="J85" s="111">
        <f t="shared" si="4"/>
        <v>66</v>
      </c>
      <c r="K85" s="51">
        <v>7</v>
      </c>
      <c r="L85" s="3" t="s">
        <v>155</v>
      </c>
      <c r="M85" s="4" t="s">
        <v>153</v>
      </c>
    </row>
    <row r="86" spans="10:13" x14ac:dyDescent="0.3">
      <c r="J86" s="111">
        <f t="shared" si="4"/>
        <v>67</v>
      </c>
      <c r="K86" s="51">
        <v>8</v>
      </c>
      <c r="L86" s="3" t="s">
        <v>141</v>
      </c>
      <c r="M86" s="4" t="s">
        <v>76</v>
      </c>
    </row>
    <row r="87" spans="10:13" ht="24.6" thickBot="1" x14ac:dyDescent="0.35">
      <c r="J87" s="111">
        <f t="shared" si="4"/>
        <v>68</v>
      </c>
      <c r="K87" s="65">
        <v>9</v>
      </c>
      <c r="L87" s="78" t="s">
        <v>142</v>
      </c>
      <c r="M87" s="79" t="s">
        <v>78</v>
      </c>
    </row>
    <row r="88" spans="10:13" ht="16.8" thickBot="1" x14ac:dyDescent="0.4">
      <c r="J88" s="434" t="s">
        <v>376</v>
      </c>
      <c r="K88" s="435"/>
      <c r="L88" s="435"/>
      <c r="M88" s="435"/>
    </row>
    <row r="89" spans="10:13" ht="24" x14ac:dyDescent="0.3">
      <c r="J89" s="111">
        <v>69</v>
      </c>
      <c r="K89" s="51">
        <v>1</v>
      </c>
      <c r="L89" s="3" t="s">
        <v>377</v>
      </c>
      <c r="M89" s="45" t="s">
        <v>38</v>
      </c>
    </row>
    <row r="90" spans="10:13" ht="24" x14ac:dyDescent="0.3">
      <c r="J90" s="111">
        <v>70</v>
      </c>
      <c r="K90" s="51">
        <v>2</v>
      </c>
      <c r="L90" s="3" t="s">
        <v>164</v>
      </c>
      <c r="M90" s="45" t="s">
        <v>39</v>
      </c>
    </row>
    <row r="91" spans="10:13" ht="24.6" thickBot="1" x14ac:dyDescent="0.35">
      <c r="J91" s="113">
        <v>71</v>
      </c>
      <c r="K91" s="65">
        <v>3</v>
      </c>
      <c r="L91" s="50" t="s">
        <v>111</v>
      </c>
      <c r="M91" s="100" t="s">
        <v>106</v>
      </c>
    </row>
    <row r="92" spans="10:13" ht="16.8" thickBot="1" x14ac:dyDescent="0.4">
      <c r="J92" s="434" t="s">
        <v>378</v>
      </c>
      <c r="K92" s="435"/>
      <c r="L92" s="435"/>
      <c r="M92" s="435"/>
    </row>
    <row r="93" spans="10:13" x14ac:dyDescent="0.3">
      <c r="J93" s="111">
        <v>72</v>
      </c>
      <c r="K93" s="51">
        <v>1</v>
      </c>
      <c r="L93" s="3" t="s">
        <v>137</v>
      </c>
      <c r="M93" s="45" t="s">
        <v>81</v>
      </c>
    </row>
    <row r="94" spans="10:13" ht="24" x14ac:dyDescent="0.3">
      <c r="J94" s="111">
        <f>J93+1</f>
        <v>73</v>
      </c>
      <c r="K94" s="51">
        <v>2</v>
      </c>
      <c r="L94" s="3" t="s">
        <v>207</v>
      </c>
      <c r="M94" s="45" t="s">
        <v>208</v>
      </c>
    </row>
    <row r="95" spans="10:13" x14ac:dyDescent="0.3">
      <c r="J95" s="111">
        <f>J94+1</f>
        <v>74</v>
      </c>
      <c r="K95" s="51">
        <v>4</v>
      </c>
      <c r="L95" s="5" t="s">
        <v>380</v>
      </c>
      <c r="M95" s="107" t="s">
        <v>382</v>
      </c>
    </row>
    <row r="96" spans="10:13" x14ac:dyDescent="0.3">
      <c r="J96" s="111">
        <f>J95+1</f>
        <v>75</v>
      </c>
      <c r="K96" s="50">
        <v>5</v>
      </c>
      <c r="L96" s="78" t="s">
        <v>381</v>
      </c>
      <c r="M96" s="107" t="s">
        <v>382</v>
      </c>
    </row>
  </sheetData>
  <mergeCells count="13">
    <mergeCell ref="J53:M53"/>
    <mergeCell ref="J16:M16"/>
    <mergeCell ref="J29:M29"/>
    <mergeCell ref="J33:M33"/>
    <mergeCell ref="J37:M37"/>
    <mergeCell ref="J50:M50"/>
    <mergeCell ref="J92:M92"/>
    <mergeCell ref="J57:M57"/>
    <mergeCell ref="J61:M61"/>
    <mergeCell ref="J64:M64"/>
    <mergeCell ref="J70:M70"/>
    <mergeCell ref="J78:M78"/>
    <mergeCell ref="J88:M88"/>
  </mergeCells>
  <phoneticPr fontId="1" type="noConversion"/>
  <pageMargins left="0.7" right="0.7" top="0.75" bottom="0.75" header="0.3" footer="0.3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5B412-6C59-4B50-92B9-62A2E61BD85B}">
  <dimension ref="A2:L12"/>
  <sheetViews>
    <sheetView workbookViewId="0">
      <selection activeCell="H5" sqref="H5"/>
    </sheetView>
  </sheetViews>
  <sheetFormatPr defaultRowHeight="14.4" x14ac:dyDescent="0.3"/>
  <cols>
    <col min="1" max="1" width="8.88671875" style="170"/>
    <col min="2" max="2" width="25.33203125" style="170" customWidth="1"/>
    <col min="3" max="3" width="12" style="170" customWidth="1"/>
    <col min="4" max="4" width="16.109375" style="170" customWidth="1"/>
    <col min="5" max="6" width="16.77734375" style="170" customWidth="1"/>
    <col min="7" max="7" width="8.88671875" style="170"/>
    <col min="8" max="8" width="12.6640625" style="170" customWidth="1"/>
    <col min="9" max="9" width="8.88671875" style="170"/>
    <col min="11" max="13" width="25.88671875" customWidth="1"/>
  </cols>
  <sheetData>
    <row r="2" spans="1:12" ht="15" thickBot="1" x14ac:dyDescent="0.35"/>
    <row r="3" spans="1:12" x14ac:dyDescent="0.3">
      <c r="B3" s="470" t="s">
        <v>428</v>
      </c>
      <c r="C3" s="472" t="s">
        <v>424</v>
      </c>
      <c r="D3" s="474" t="s">
        <v>425</v>
      </c>
      <c r="E3" s="465" t="s">
        <v>433</v>
      </c>
      <c r="F3" s="466"/>
      <c r="G3" s="467"/>
      <c r="H3" s="468"/>
    </row>
    <row r="4" spans="1:12" ht="15" thickBot="1" x14ac:dyDescent="0.35">
      <c r="B4" s="471"/>
      <c r="C4" s="473"/>
      <c r="D4" s="475"/>
      <c r="E4" s="172" t="s">
        <v>430</v>
      </c>
      <c r="F4" s="175" t="s">
        <v>432</v>
      </c>
      <c r="G4" s="173" t="s">
        <v>431</v>
      </c>
      <c r="H4" s="174" t="s">
        <v>429</v>
      </c>
    </row>
    <row r="5" spans="1:12" ht="20.399999999999999" x14ac:dyDescent="0.3">
      <c r="A5" s="469" t="s">
        <v>426</v>
      </c>
      <c r="B5" s="152" t="s">
        <v>361</v>
      </c>
      <c r="C5" s="155" t="s">
        <v>74</v>
      </c>
      <c r="D5" s="155" t="s">
        <v>95</v>
      </c>
      <c r="E5" s="160"/>
      <c r="F5" s="168"/>
      <c r="G5" s="161"/>
      <c r="H5" s="162">
        <v>3</v>
      </c>
    </row>
    <row r="6" spans="1:12" ht="24.6" customHeight="1" thickBot="1" x14ac:dyDescent="0.35">
      <c r="A6" s="469"/>
      <c r="B6" s="158" t="s">
        <v>266</v>
      </c>
      <c r="C6" s="156" t="s">
        <v>329</v>
      </c>
      <c r="D6" s="177" t="s">
        <v>95</v>
      </c>
      <c r="E6" s="167">
        <v>11200</v>
      </c>
      <c r="F6" s="169">
        <v>56300</v>
      </c>
      <c r="G6" s="171">
        <v>45000</v>
      </c>
      <c r="H6" s="163">
        <v>3</v>
      </c>
    </row>
    <row r="7" spans="1:12" x14ac:dyDescent="0.3">
      <c r="A7" s="469" t="s">
        <v>427</v>
      </c>
      <c r="B7" s="159" t="s">
        <v>28</v>
      </c>
      <c r="C7" s="155" t="s">
        <v>385</v>
      </c>
      <c r="D7" s="178" t="s">
        <v>95</v>
      </c>
      <c r="E7" s="164"/>
      <c r="F7" s="154"/>
      <c r="G7" s="165"/>
      <c r="H7" s="166">
        <v>2</v>
      </c>
      <c r="L7" s="176"/>
    </row>
    <row r="8" spans="1:12" ht="15" thickBot="1" x14ac:dyDescent="0.35">
      <c r="A8" s="469"/>
      <c r="B8" s="153" t="s">
        <v>391</v>
      </c>
      <c r="C8" s="157" t="s">
        <v>264</v>
      </c>
      <c r="D8" s="177" t="s">
        <v>95</v>
      </c>
      <c r="E8" s="167">
        <v>10700</v>
      </c>
      <c r="F8" s="169">
        <v>65500</v>
      </c>
      <c r="G8" s="171">
        <v>54500</v>
      </c>
      <c r="H8" s="163">
        <v>4</v>
      </c>
      <c r="L8" s="150"/>
    </row>
    <row r="9" spans="1:12" x14ac:dyDescent="0.3">
      <c r="L9" s="150"/>
    </row>
    <row r="10" spans="1:12" x14ac:dyDescent="0.3">
      <c r="L10" s="150"/>
    </row>
    <row r="11" spans="1:12" x14ac:dyDescent="0.3">
      <c r="L11" s="150"/>
    </row>
    <row r="12" spans="1:12" x14ac:dyDescent="0.3">
      <c r="L12" s="176"/>
    </row>
  </sheetData>
  <mergeCells count="6">
    <mergeCell ref="E3:H3"/>
    <mergeCell ref="A5:A6"/>
    <mergeCell ref="A7:A8"/>
    <mergeCell ref="B3:B4"/>
    <mergeCell ref="C3:C4"/>
    <mergeCell ref="D3:D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67783-4CF1-4859-92A3-DA3B1A397828}">
  <dimension ref="A1:BWH89"/>
  <sheetViews>
    <sheetView topLeftCell="C1" zoomScale="70" zoomScaleNormal="70" workbookViewId="0">
      <pane ySplit="1" topLeftCell="A68" activePane="bottomLeft" state="frozen"/>
      <selection pane="bottomLeft" activeCell="C1" sqref="A1:H89"/>
    </sheetView>
  </sheetViews>
  <sheetFormatPr defaultColWidth="9.109375" defaultRowHeight="14.4" x14ac:dyDescent="0.3"/>
  <cols>
    <col min="1" max="1" width="5.44140625" style="413" hidden="1" customWidth="1"/>
    <col min="2" max="2" width="4.44140625" style="33" hidden="1" customWidth="1"/>
    <col min="3" max="3" width="4.44140625" style="33" customWidth="1"/>
    <col min="4" max="4" width="17.88671875" style="413" customWidth="1"/>
    <col min="5" max="5" width="28.109375" style="34" customWidth="1"/>
    <col min="6" max="6" width="10.6640625" style="413" customWidth="1"/>
    <col min="7" max="7" width="29.77734375" style="34" customWidth="1"/>
    <col min="8" max="8" width="8.88671875" style="2" customWidth="1"/>
    <col min="9" max="12" width="9.109375" style="2" customWidth="1"/>
    <col min="13" max="1958" width="9.109375" style="2"/>
    <col min="1959" max="16384" width="9.109375" style="1"/>
  </cols>
  <sheetData>
    <row r="1" spans="1:8" ht="28.8" customHeight="1" thickBot="1" x14ac:dyDescent="0.35">
      <c r="A1" s="115" t="s">
        <v>383</v>
      </c>
      <c r="B1" s="7" t="s">
        <v>6</v>
      </c>
      <c r="C1" s="402"/>
      <c r="D1" s="8" t="s">
        <v>0</v>
      </c>
      <c r="E1" s="8" t="s">
        <v>135</v>
      </c>
      <c r="F1" s="8" t="s">
        <v>2</v>
      </c>
      <c r="G1" s="415" t="s">
        <v>7</v>
      </c>
      <c r="H1" s="423"/>
    </row>
    <row r="2" spans="1:8" s="2" customFormat="1" ht="16.8" thickBot="1" x14ac:dyDescent="0.35">
      <c r="A2" s="438" t="s">
        <v>343</v>
      </c>
      <c r="B2" s="439"/>
      <c r="C2" s="439"/>
      <c r="D2" s="439"/>
      <c r="E2" s="439"/>
      <c r="F2" s="442"/>
      <c r="G2" s="443"/>
      <c r="H2" s="29"/>
    </row>
    <row r="3" spans="1:8" s="2" customFormat="1" x14ac:dyDescent="0.3">
      <c r="A3" s="54">
        <v>1</v>
      </c>
      <c r="B3" s="55">
        <v>1</v>
      </c>
      <c r="C3" s="55">
        <v>1</v>
      </c>
      <c r="D3" s="128" t="s">
        <v>691</v>
      </c>
      <c r="E3" s="57" t="s">
        <v>25</v>
      </c>
      <c r="F3" s="56">
        <v>2023</v>
      </c>
      <c r="G3" s="416" t="s">
        <v>95</v>
      </c>
      <c r="H3" s="29"/>
    </row>
    <row r="4" spans="1:8" s="2" customFormat="1" x14ac:dyDescent="0.3">
      <c r="A4" s="111"/>
      <c r="B4" s="51"/>
      <c r="C4" s="51">
        <f t="shared" ref="C4:C9" si="0">C3+1</f>
        <v>2</v>
      </c>
      <c r="D4" s="309" t="s">
        <v>689</v>
      </c>
      <c r="E4" s="101" t="s">
        <v>690</v>
      </c>
      <c r="F4" s="86">
        <v>2022</v>
      </c>
      <c r="G4" s="417" t="s">
        <v>95</v>
      </c>
      <c r="H4" s="29"/>
    </row>
    <row r="5" spans="1:8" s="2" customFormat="1" x14ac:dyDescent="0.3">
      <c r="A5" s="59"/>
      <c r="B5" s="219"/>
      <c r="C5" s="51">
        <f t="shared" si="0"/>
        <v>3</v>
      </c>
      <c r="D5" s="29" t="s">
        <v>211</v>
      </c>
      <c r="E5" s="221" t="s">
        <v>669</v>
      </c>
      <c r="F5" s="219">
        <v>2019</v>
      </c>
      <c r="G5" s="418" t="s">
        <v>618</v>
      </c>
      <c r="H5" s="29"/>
    </row>
    <row r="6" spans="1:8" s="2" customFormat="1" x14ac:dyDescent="0.3">
      <c r="A6" s="59">
        <v>2</v>
      </c>
      <c r="B6" s="219">
        <v>2</v>
      </c>
      <c r="C6" s="51">
        <f t="shared" si="0"/>
        <v>4</v>
      </c>
      <c r="D6" s="29" t="s">
        <v>350</v>
      </c>
      <c r="E6" s="221" t="s">
        <v>30</v>
      </c>
      <c r="F6" s="19">
        <v>2021</v>
      </c>
      <c r="G6" s="419" t="s">
        <v>95</v>
      </c>
      <c r="H6" s="29"/>
    </row>
    <row r="7" spans="1:8" s="2" customFormat="1" x14ac:dyDescent="0.3">
      <c r="A7" s="59" t="e">
        <f>#REF!+1</f>
        <v>#REF!</v>
      </c>
      <c r="B7" s="219">
        <v>5</v>
      </c>
      <c r="C7" s="51">
        <f t="shared" si="0"/>
        <v>5</v>
      </c>
      <c r="D7" s="29" t="s">
        <v>212</v>
      </c>
      <c r="E7" s="307" t="s">
        <v>344</v>
      </c>
      <c r="F7" s="3">
        <v>2019</v>
      </c>
      <c r="G7" s="419" t="s">
        <v>196</v>
      </c>
      <c r="H7" s="29"/>
    </row>
    <row r="8" spans="1:8" s="2" customFormat="1" x14ac:dyDescent="0.3">
      <c r="A8" s="59" t="e">
        <f>#REF!+1</f>
        <v>#REF!</v>
      </c>
      <c r="B8" s="219">
        <v>7</v>
      </c>
      <c r="C8" s="51">
        <f t="shared" si="0"/>
        <v>6</v>
      </c>
      <c r="D8" s="29" t="s">
        <v>353</v>
      </c>
      <c r="E8" s="45" t="s">
        <v>23</v>
      </c>
      <c r="F8" s="3">
        <v>2023</v>
      </c>
      <c r="G8" s="419" t="s">
        <v>95</v>
      </c>
      <c r="H8" s="29"/>
    </row>
    <row r="9" spans="1:8" s="2" customFormat="1" ht="15" thickBot="1" x14ac:dyDescent="0.35">
      <c r="A9" s="59">
        <v>10</v>
      </c>
      <c r="B9" s="219">
        <v>10</v>
      </c>
      <c r="C9" s="51">
        <f t="shared" si="0"/>
        <v>7</v>
      </c>
      <c r="D9" s="29" t="s">
        <v>338</v>
      </c>
      <c r="E9" s="315" t="s">
        <v>336</v>
      </c>
      <c r="F9" s="3"/>
      <c r="G9" s="418" t="s">
        <v>619</v>
      </c>
      <c r="H9" s="29"/>
    </row>
    <row r="10" spans="1:8" s="2" customFormat="1" ht="16.8" thickBot="1" x14ac:dyDescent="0.35">
      <c r="A10" s="436" t="s">
        <v>354</v>
      </c>
      <c r="B10" s="437"/>
      <c r="C10" s="437"/>
      <c r="D10" s="437"/>
      <c r="E10" s="437"/>
      <c r="F10" s="442"/>
      <c r="G10" s="443"/>
      <c r="H10" s="29"/>
    </row>
    <row r="11" spans="1:8" s="2" customFormat="1" x14ac:dyDescent="0.3">
      <c r="A11" s="54">
        <v>12</v>
      </c>
      <c r="B11" s="55">
        <v>1</v>
      </c>
      <c r="C11" s="55">
        <v>1</v>
      </c>
      <c r="D11" s="58" t="s">
        <v>189</v>
      </c>
      <c r="E11" s="97" t="s">
        <v>188</v>
      </c>
      <c r="F11" s="56">
        <v>2016</v>
      </c>
      <c r="G11" s="416" t="s">
        <v>95</v>
      </c>
      <c r="H11" s="29"/>
    </row>
    <row r="12" spans="1:8" s="2" customFormat="1" ht="24" x14ac:dyDescent="0.3">
      <c r="A12" s="59">
        <f>A11+1</f>
        <v>13</v>
      </c>
      <c r="B12" s="219">
        <v>2</v>
      </c>
      <c r="C12" s="29">
        <f>C11+1</f>
        <v>2</v>
      </c>
      <c r="D12" s="19" t="s">
        <v>284</v>
      </c>
      <c r="E12" s="45" t="s">
        <v>286</v>
      </c>
      <c r="F12" s="3">
        <v>2014</v>
      </c>
      <c r="G12" s="419" t="s">
        <v>95</v>
      </c>
      <c r="H12" s="29"/>
    </row>
    <row r="13" spans="1:8" s="2" customFormat="1" x14ac:dyDescent="0.3">
      <c r="A13" s="59">
        <f t="shared" ref="A13:A22" si="1">A12+1</f>
        <v>14</v>
      </c>
      <c r="B13" s="219">
        <v>3</v>
      </c>
      <c r="C13" s="219">
        <f t="shared" ref="C13:C22" si="2">C12+1</f>
        <v>3</v>
      </c>
      <c r="D13" s="3" t="s">
        <v>183</v>
      </c>
      <c r="E13" s="45" t="s">
        <v>620</v>
      </c>
      <c r="F13" s="3">
        <v>2014</v>
      </c>
      <c r="G13" s="419" t="s">
        <v>95</v>
      </c>
      <c r="H13" s="29"/>
    </row>
    <row r="14" spans="1:8" s="2" customFormat="1" x14ac:dyDescent="0.3">
      <c r="A14" s="59">
        <f t="shared" si="1"/>
        <v>15</v>
      </c>
      <c r="B14" s="219">
        <v>4</v>
      </c>
      <c r="C14" s="219">
        <f t="shared" si="2"/>
        <v>4</v>
      </c>
      <c r="D14" s="412" t="s">
        <v>332</v>
      </c>
      <c r="E14" s="45" t="s">
        <v>114</v>
      </c>
      <c r="F14" s="3">
        <v>2021</v>
      </c>
      <c r="G14" s="419" t="s">
        <v>95</v>
      </c>
      <c r="H14" s="29"/>
    </row>
    <row r="15" spans="1:8" s="2" customFormat="1" ht="24" x14ac:dyDescent="0.3">
      <c r="A15" s="59">
        <f t="shared" si="1"/>
        <v>16</v>
      </c>
      <c r="B15" s="219">
        <v>5</v>
      </c>
      <c r="C15" s="29">
        <f t="shared" si="2"/>
        <v>5</v>
      </c>
      <c r="D15" s="29" t="s">
        <v>192</v>
      </c>
      <c r="E15" s="45" t="s">
        <v>194</v>
      </c>
      <c r="F15" s="19">
        <v>2011</v>
      </c>
      <c r="G15" s="419" t="s">
        <v>196</v>
      </c>
      <c r="H15" s="29"/>
    </row>
    <row r="16" spans="1:8" s="2" customFormat="1" x14ac:dyDescent="0.3">
      <c r="A16" s="59">
        <f t="shared" si="1"/>
        <v>17</v>
      </c>
      <c r="B16" s="219">
        <v>6</v>
      </c>
      <c r="C16" s="219">
        <f t="shared" si="2"/>
        <v>6</v>
      </c>
      <c r="D16" s="219" t="s">
        <v>252</v>
      </c>
      <c r="E16" s="45" t="s">
        <v>250</v>
      </c>
      <c r="F16" s="19">
        <v>2012</v>
      </c>
      <c r="G16" s="419" t="s">
        <v>95</v>
      </c>
      <c r="H16" s="29"/>
    </row>
    <row r="17" spans="1:8" s="2" customFormat="1" ht="15.6" customHeight="1" x14ac:dyDescent="0.3">
      <c r="A17" s="59">
        <f t="shared" si="1"/>
        <v>18</v>
      </c>
      <c r="B17" s="219">
        <v>7</v>
      </c>
      <c r="C17" s="219">
        <f t="shared" si="2"/>
        <v>7</v>
      </c>
      <c r="D17" s="29" t="s">
        <v>180</v>
      </c>
      <c r="E17" s="223" t="s">
        <v>181</v>
      </c>
      <c r="F17" s="29">
        <v>2016</v>
      </c>
      <c r="G17" s="419" t="s">
        <v>95</v>
      </c>
      <c r="H17" s="29"/>
    </row>
    <row r="18" spans="1:8" s="2" customFormat="1" x14ac:dyDescent="0.3">
      <c r="A18" s="59">
        <f t="shared" si="1"/>
        <v>19</v>
      </c>
      <c r="B18" s="219">
        <v>8</v>
      </c>
      <c r="C18" s="219">
        <f t="shared" si="2"/>
        <v>8</v>
      </c>
      <c r="D18" s="3" t="s">
        <v>230</v>
      </c>
      <c r="E18" s="315" t="s">
        <v>226</v>
      </c>
      <c r="F18" s="3">
        <v>2018</v>
      </c>
      <c r="G18" s="419" t="s">
        <v>238</v>
      </c>
      <c r="H18" s="29"/>
    </row>
    <row r="19" spans="1:8" s="2" customFormat="1" x14ac:dyDescent="0.3">
      <c r="A19" s="59">
        <f t="shared" si="1"/>
        <v>20</v>
      </c>
      <c r="B19" s="219">
        <v>9</v>
      </c>
      <c r="C19" s="219">
        <f t="shared" si="2"/>
        <v>9</v>
      </c>
      <c r="D19" s="219" t="s">
        <v>259</v>
      </c>
      <c r="E19" s="45" t="s">
        <v>260</v>
      </c>
      <c r="F19" s="3">
        <v>2019</v>
      </c>
      <c r="G19" s="419" t="s">
        <v>95</v>
      </c>
      <c r="H19" s="29"/>
    </row>
    <row r="20" spans="1:8" s="2" customFormat="1" ht="24" x14ac:dyDescent="0.3">
      <c r="A20" s="59">
        <f t="shared" si="1"/>
        <v>21</v>
      </c>
      <c r="B20" s="219">
        <v>10</v>
      </c>
      <c r="C20" s="29">
        <f t="shared" si="2"/>
        <v>10</v>
      </c>
      <c r="D20" s="19" t="s">
        <v>234</v>
      </c>
      <c r="E20" s="45" t="s">
        <v>233</v>
      </c>
      <c r="F20" s="3">
        <v>2016</v>
      </c>
      <c r="G20" s="419" t="s">
        <v>95</v>
      </c>
      <c r="H20" s="29"/>
    </row>
    <row r="21" spans="1:8" s="2" customFormat="1" ht="24" x14ac:dyDescent="0.3">
      <c r="A21" s="59">
        <f t="shared" si="1"/>
        <v>22</v>
      </c>
      <c r="B21" s="219">
        <v>11</v>
      </c>
      <c r="C21" s="29">
        <f t="shared" si="2"/>
        <v>11</v>
      </c>
      <c r="D21" s="19" t="s">
        <v>258</v>
      </c>
      <c r="E21" s="45" t="s">
        <v>241</v>
      </c>
      <c r="F21" s="3">
        <v>2019</v>
      </c>
      <c r="G21" s="419" t="s">
        <v>95</v>
      </c>
      <c r="H21" s="29"/>
    </row>
    <row r="22" spans="1:8" s="2" customFormat="1" ht="15" thickBot="1" x14ac:dyDescent="0.35">
      <c r="A22" s="61">
        <f t="shared" si="1"/>
        <v>23</v>
      </c>
      <c r="B22" s="62">
        <v>12</v>
      </c>
      <c r="C22" s="219">
        <f t="shared" si="2"/>
        <v>12</v>
      </c>
      <c r="D22" s="71" t="s">
        <v>272</v>
      </c>
      <c r="E22" s="99" t="s">
        <v>18</v>
      </c>
      <c r="F22" s="71">
        <v>2019</v>
      </c>
      <c r="G22" s="420" t="s">
        <v>95</v>
      </c>
      <c r="H22" s="29"/>
    </row>
    <row r="23" spans="1:8" s="2" customFormat="1" ht="16.8" thickBot="1" x14ac:dyDescent="0.35">
      <c r="A23" s="440" t="s">
        <v>355</v>
      </c>
      <c r="B23" s="441"/>
      <c r="C23" s="441"/>
      <c r="D23" s="441"/>
      <c r="E23" s="441"/>
      <c r="F23" s="442"/>
      <c r="G23" s="443"/>
      <c r="H23" s="29"/>
    </row>
    <row r="24" spans="1:8" s="2" customFormat="1" x14ac:dyDescent="0.3">
      <c r="A24" s="111">
        <v>24</v>
      </c>
      <c r="B24" s="51">
        <v>1</v>
      </c>
      <c r="C24" s="51">
        <v>1</v>
      </c>
      <c r="D24" s="51" t="s">
        <v>360</v>
      </c>
      <c r="E24" s="101" t="s">
        <v>45</v>
      </c>
      <c r="F24" s="3">
        <v>2021</v>
      </c>
      <c r="G24" s="419" t="s">
        <v>95</v>
      </c>
      <c r="H24" s="29"/>
    </row>
    <row r="25" spans="1:8" s="2" customFormat="1" x14ac:dyDescent="0.3">
      <c r="A25" s="59">
        <v>25</v>
      </c>
      <c r="B25" s="219">
        <v>2</v>
      </c>
      <c r="C25" s="219">
        <v>2</v>
      </c>
      <c r="D25" s="219" t="s">
        <v>312</v>
      </c>
      <c r="E25" s="45" t="s">
        <v>20</v>
      </c>
      <c r="F25" s="3">
        <v>2019</v>
      </c>
      <c r="G25" s="419" t="s">
        <v>95</v>
      </c>
      <c r="H25" s="29"/>
    </row>
    <row r="26" spans="1:8" s="2" customFormat="1" ht="15" thickBot="1" x14ac:dyDescent="0.35">
      <c r="A26" s="109">
        <v>26</v>
      </c>
      <c r="B26" s="50">
        <v>3</v>
      </c>
      <c r="C26" s="50">
        <v>3</v>
      </c>
      <c r="D26" s="78" t="s">
        <v>646</v>
      </c>
      <c r="E26" s="100" t="s">
        <v>217</v>
      </c>
      <c r="F26" s="78">
        <v>2018</v>
      </c>
      <c r="G26" s="419" t="s">
        <v>95</v>
      </c>
      <c r="H26" s="29"/>
    </row>
    <row r="27" spans="1:8" s="2" customFormat="1" ht="16.8" thickBot="1" x14ac:dyDescent="0.35">
      <c r="A27" s="440" t="s">
        <v>356</v>
      </c>
      <c r="B27" s="441"/>
      <c r="C27" s="441"/>
      <c r="D27" s="441"/>
      <c r="E27" s="441"/>
      <c r="F27" s="442"/>
      <c r="G27" s="443"/>
      <c r="H27" s="29"/>
    </row>
    <row r="28" spans="1:8" s="2" customFormat="1" ht="36" x14ac:dyDescent="0.3">
      <c r="A28" s="111">
        <v>27</v>
      </c>
      <c r="B28" s="51">
        <v>1</v>
      </c>
      <c r="C28" s="51">
        <v>1</v>
      </c>
      <c r="D28" s="89" t="s">
        <v>319</v>
      </c>
      <c r="E28" s="101" t="s">
        <v>541</v>
      </c>
      <c r="F28" s="89">
        <v>2024</v>
      </c>
      <c r="G28" s="419" t="s">
        <v>95</v>
      </c>
      <c r="H28" s="29" t="s">
        <v>731</v>
      </c>
    </row>
    <row r="29" spans="1:8" s="2" customFormat="1" ht="24" x14ac:dyDescent="0.3">
      <c r="A29" s="59">
        <v>28</v>
      </c>
      <c r="B29" s="219">
        <v>2</v>
      </c>
      <c r="C29" s="219">
        <v>2</v>
      </c>
      <c r="D29" s="19" t="s">
        <v>275</v>
      </c>
      <c r="E29" s="45" t="s">
        <v>276</v>
      </c>
      <c r="F29" s="19">
        <v>2021</v>
      </c>
      <c r="G29" s="419" t="s">
        <v>95</v>
      </c>
      <c r="H29" s="29"/>
    </row>
    <row r="30" spans="1:8" s="2" customFormat="1" ht="24.6" thickBot="1" x14ac:dyDescent="0.35">
      <c r="A30" s="109">
        <v>29</v>
      </c>
      <c r="B30" s="50">
        <v>3</v>
      </c>
      <c r="C30" s="50">
        <v>3</v>
      </c>
      <c r="D30" s="82" t="s">
        <v>93</v>
      </c>
      <c r="E30" s="100" t="s">
        <v>92</v>
      </c>
      <c r="F30" s="82">
        <v>2021</v>
      </c>
      <c r="G30" s="421" t="s">
        <v>95</v>
      </c>
      <c r="H30" s="29"/>
    </row>
    <row r="31" spans="1:8" s="2" customFormat="1" ht="16.8" thickBot="1" x14ac:dyDescent="0.35">
      <c r="A31" s="440" t="s">
        <v>357</v>
      </c>
      <c r="B31" s="441"/>
      <c r="C31" s="441"/>
      <c r="D31" s="441"/>
      <c r="E31" s="441"/>
      <c r="F31" s="442"/>
      <c r="G31" s="443"/>
      <c r="H31" s="29"/>
    </row>
    <row r="32" spans="1:8" s="2" customFormat="1" ht="24" x14ac:dyDescent="0.3">
      <c r="A32" s="111">
        <v>30</v>
      </c>
      <c r="B32" s="51">
        <v>1</v>
      </c>
      <c r="C32" s="51">
        <v>1</v>
      </c>
      <c r="D32" s="19" t="s">
        <v>225</v>
      </c>
      <c r="E32" s="4" t="s">
        <v>33</v>
      </c>
      <c r="F32" s="19">
        <v>2020</v>
      </c>
      <c r="G32" s="419" t="s">
        <v>95</v>
      </c>
      <c r="H32" s="29"/>
    </row>
    <row r="33" spans="1:8" s="2" customFormat="1" ht="22.2" customHeight="1" x14ac:dyDescent="0.3">
      <c r="A33" s="111"/>
      <c r="B33" s="51"/>
      <c r="C33" s="51">
        <f>C32+1</f>
        <v>2</v>
      </c>
      <c r="D33" s="19" t="s">
        <v>682</v>
      </c>
      <c r="E33" s="4" t="s">
        <v>219</v>
      </c>
      <c r="F33" s="19">
        <v>2019</v>
      </c>
      <c r="G33" s="419" t="s">
        <v>95</v>
      </c>
      <c r="H33" s="29"/>
    </row>
    <row r="34" spans="1:8" s="2" customFormat="1" ht="24" x14ac:dyDescent="0.3">
      <c r="A34" s="59">
        <f>A32+1</f>
        <v>31</v>
      </c>
      <c r="B34" s="219">
        <v>2</v>
      </c>
      <c r="C34" s="51">
        <f t="shared" ref="C34:C43" si="3">C33+1</f>
        <v>3</v>
      </c>
      <c r="D34" s="19" t="s">
        <v>214</v>
      </c>
      <c r="E34" s="4" t="s">
        <v>33</v>
      </c>
      <c r="F34" s="19">
        <v>2020</v>
      </c>
      <c r="G34" s="419" t="s">
        <v>95</v>
      </c>
      <c r="H34" s="29"/>
    </row>
    <row r="35" spans="1:8" s="2" customFormat="1" ht="24" x14ac:dyDescent="0.3">
      <c r="A35" s="59">
        <f t="shared" ref="A35:A41" si="4">A34+1</f>
        <v>32</v>
      </c>
      <c r="B35" s="51">
        <v>3</v>
      </c>
      <c r="C35" s="51">
        <f t="shared" si="3"/>
        <v>4</v>
      </c>
      <c r="D35" s="19" t="s">
        <v>131</v>
      </c>
      <c r="E35" s="4" t="s">
        <v>36</v>
      </c>
      <c r="F35" s="19">
        <v>2020</v>
      </c>
      <c r="G35" s="419" t="s">
        <v>95</v>
      </c>
      <c r="H35" s="29"/>
    </row>
    <row r="36" spans="1:8" s="2" customFormat="1" ht="24" x14ac:dyDescent="0.3">
      <c r="A36" s="59">
        <f t="shared" si="4"/>
        <v>33</v>
      </c>
      <c r="B36" s="219">
        <v>4</v>
      </c>
      <c r="C36" s="51">
        <f t="shared" si="3"/>
        <v>5</v>
      </c>
      <c r="D36" s="19" t="s">
        <v>223</v>
      </c>
      <c r="E36" s="4" t="s">
        <v>36</v>
      </c>
      <c r="F36" s="19">
        <v>2020</v>
      </c>
      <c r="G36" s="419" t="s">
        <v>95</v>
      </c>
      <c r="H36" s="29"/>
    </row>
    <row r="37" spans="1:8" s="2" customFormat="1" ht="24" x14ac:dyDescent="0.3">
      <c r="A37" s="59">
        <f t="shared" si="4"/>
        <v>34</v>
      </c>
      <c r="B37" s="51">
        <v>5</v>
      </c>
      <c r="C37" s="51">
        <f t="shared" si="3"/>
        <v>6</v>
      </c>
      <c r="D37" s="3" t="s">
        <v>220</v>
      </c>
      <c r="E37" s="4" t="s">
        <v>219</v>
      </c>
      <c r="F37" s="19">
        <v>2019</v>
      </c>
      <c r="G37" s="419" t="s">
        <v>95</v>
      </c>
      <c r="H37" s="29"/>
    </row>
    <row r="38" spans="1:8" s="2" customFormat="1" ht="24" x14ac:dyDescent="0.3">
      <c r="A38" s="59">
        <f t="shared" si="4"/>
        <v>35</v>
      </c>
      <c r="B38" s="219">
        <v>6</v>
      </c>
      <c r="C38" s="51">
        <f t="shared" si="3"/>
        <v>7</v>
      </c>
      <c r="D38" s="3" t="s">
        <v>177</v>
      </c>
      <c r="E38" s="4" t="s">
        <v>175</v>
      </c>
      <c r="F38" s="3">
        <v>2017</v>
      </c>
      <c r="G38" s="419" t="s">
        <v>149</v>
      </c>
      <c r="H38" s="29"/>
    </row>
    <row r="39" spans="1:8" s="2" customFormat="1" ht="24" x14ac:dyDescent="0.3">
      <c r="A39" s="59">
        <f t="shared" si="4"/>
        <v>36</v>
      </c>
      <c r="B39" s="51">
        <v>7</v>
      </c>
      <c r="C39" s="51">
        <f t="shared" si="3"/>
        <v>8</v>
      </c>
      <c r="D39" s="219" t="s">
        <v>146</v>
      </c>
      <c r="E39" s="4" t="s">
        <v>68</v>
      </c>
      <c r="F39" s="3">
        <v>2017</v>
      </c>
      <c r="G39" s="419" t="s">
        <v>149</v>
      </c>
      <c r="H39" s="29"/>
    </row>
    <row r="40" spans="1:8" s="2" customFormat="1" ht="24" x14ac:dyDescent="0.3">
      <c r="A40" s="59">
        <f t="shared" si="4"/>
        <v>37</v>
      </c>
      <c r="B40" s="219">
        <v>8</v>
      </c>
      <c r="C40" s="51">
        <f t="shared" si="3"/>
        <v>9</v>
      </c>
      <c r="D40" s="3" t="s">
        <v>201</v>
      </c>
      <c r="E40" s="4" t="s">
        <v>175</v>
      </c>
      <c r="F40" s="3">
        <v>2017</v>
      </c>
      <c r="G40" s="419" t="s">
        <v>149</v>
      </c>
      <c r="H40" s="29"/>
    </row>
    <row r="41" spans="1:8" s="2" customFormat="1" ht="24" x14ac:dyDescent="0.3">
      <c r="A41" s="59">
        <f t="shared" si="4"/>
        <v>38</v>
      </c>
      <c r="B41" s="51">
        <v>9</v>
      </c>
      <c r="C41" s="51">
        <f t="shared" si="3"/>
        <v>10</v>
      </c>
      <c r="D41" s="3" t="s">
        <v>204</v>
      </c>
      <c r="E41" s="4" t="s">
        <v>175</v>
      </c>
      <c r="F41" s="3">
        <v>2017</v>
      </c>
      <c r="G41" s="419" t="s">
        <v>149</v>
      </c>
      <c r="H41" s="29"/>
    </row>
    <row r="42" spans="1:8" s="2" customFormat="1" ht="24" x14ac:dyDescent="0.3">
      <c r="A42" s="59"/>
      <c r="B42" s="219">
        <v>10</v>
      </c>
      <c r="C42" s="51">
        <f t="shared" si="3"/>
        <v>11</v>
      </c>
      <c r="D42" s="219" t="s">
        <v>498</v>
      </c>
      <c r="E42" s="4" t="s">
        <v>150</v>
      </c>
      <c r="F42" s="3">
        <v>2012</v>
      </c>
      <c r="G42" s="419" t="s">
        <v>149</v>
      </c>
      <c r="H42" s="29"/>
    </row>
    <row r="43" spans="1:8" s="2" customFormat="1" ht="15" thickBot="1" x14ac:dyDescent="0.35">
      <c r="A43" s="109"/>
      <c r="B43" s="50">
        <v>12</v>
      </c>
      <c r="C43" s="51">
        <f t="shared" si="3"/>
        <v>12</v>
      </c>
      <c r="D43" s="95" t="s">
        <v>71</v>
      </c>
      <c r="E43" s="96" t="s">
        <v>70</v>
      </c>
      <c r="F43" s="39"/>
      <c r="G43" s="422" t="s">
        <v>95</v>
      </c>
      <c r="H43" s="29"/>
    </row>
    <row r="44" spans="1:8" s="2" customFormat="1" ht="16.8" thickBot="1" x14ac:dyDescent="0.4">
      <c r="A44" s="434" t="s">
        <v>359</v>
      </c>
      <c r="B44" s="435"/>
      <c r="C44" s="435"/>
      <c r="D44" s="435"/>
      <c r="E44" s="435"/>
      <c r="F44" s="442"/>
      <c r="G44" s="443"/>
      <c r="H44" s="29"/>
    </row>
    <row r="45" spans="1:8" s="2" customFormat="1" x14ac:dyDescent="0.3">
      <c r="A45" s="111">
        <v>39</v>
      </c>
      <c r="B45" s="51">
        <v>1</v>
      </c>
      <c r="C45" s="51">
        <v>1</v>
      </c>
      <c r="D45" s="3" t="s">
        <v>385</v>
      </c>
      <c r="E45" s="45" t="s">
        <v>28</v>
      </c>
      <c r="F45" s="19">
        <v>2023</v>
      </c>
      <c r="G45" s="419" t="s">
        <v>95</v>
      </c>
      <c r="H45" s="29"/>
    </row>
    <row r="46" spans="1:8" s="217" customFormat="1" ht="24.6" thickBot="1" x14ac:dyDescent="0.35">
      <c r="A46" s="213">
        <v>40</v>
      </c>
      <c r="B46" s="118">
        <v>2</v>
      </c>
      <c r="C46" s="118">
        <v>2</v>
      </c>
      <c r="D46" s="19" t="s">
        <v>542</v>
      </c>
      <c r="E46" s="194" t="s">
        <v>361</v>
      </c>
      <c r="F46" s="19">
        <v>2016</v>
      </c>
      <c r="G46" s="419" t="s">
        <v>95</v>
      </c>
      <c r="H46" s="29"/>
    </row>
    <row r="47" spans="1:8" s="2" customFormat="1" ht="16.8" thickBot="1" x14ac:dyDescent="0.4">
      <c r="A47" s="434" t="s">
        <v>362</v>
      </c>
      <c r="B47" s="435"/>
      <c r="C47" s="435"/>
      <c r="D47" s="435"/>
      <c r="E47" s="435"/>
      <c r="F47" s="442"/>
      <c r="G47" s="443"/>
      <c r="H47" s="29"/>
    </row>
    <row r="48" spans="1:8" s="2" customFormat="1" ht="41.4" x14ac:dyDescent="0.3">
      <c r="A48" s="111">
        <v>41</v>
      </c>
      <c r="B48" s="51">
        <v>1</v>
      </c>
      <c r="C48" s="51">
        <v>1</v>
      </c>
      <c r="D48" s="19" t="s">
        <v>329</v>
      </c>
      <c r="E48" s="313" t="s">
        <v>266</v>
      </c>
      <c r="F48" s="19">
        <v>2021</v>
      </c>
      <c r="G48" s="419" t="s">
        <v>95</v>
      </c>
      <c r="H48" s="29"/>
    </row>
    <row r="49" spans="1:8" s="2" customFormat="1" x14ac:dyDescent="0.3">
      <c r="A49" s="113">
        <v>42</v>
      </c>
      <c r="B49" s="65">
        <v>2</v>
      </c>
      <c r="C49" s="65">
        <v>2</v>
      </c>
      <c r="D49" s="3" t="s">
        <v>264</v>
      </c>
      <c r="E49" s="79" t="s">
        <v>391</v>
      </c>
      <c r="F49" s="3">
        <v>2023</v>
      </c>
      <c r="G49" s="419"/>
      <c r="H49" s="29"/>
    </row>
    <row r="50" spans="1:8" s="2" customFormat="1" ht="15" thickBot="1" x14ac:dyDescent="0.35">
      <c r="A50" s="109">
        <v>43</v>
      </c>
      <c r="B50" s="50">
        <v>3</v>
      </c>
      <c r="C50" s="403">
        <v>3</v>
      </c>
      <c r="D50" s="112"/>
      <c r="E50" s="4" t="s">
        <v>198</v>
      </c>
      <c r="F50" s="3">
        <v>2020</v>
      </c>
      <c r="G50" s="419"/>
      <c r="H50" s="29"/>
    </row>
    <row r="51" spans="1:8" s="2" customFormat="1" ht="16.8" thickBot="1" x14ac:dyDescent="0.4">
      <c r="A51" s="434" t="s">
        <v>363</v>
      </c>
      <c r="B51" s="435"/>
      <c r="C51" s="435"/>
      <c r="D51" s="435"/>
      <c r="E51" s="435"/>
      <c r="F51" s="442"/>
      <c r="G51" s="443"/>
      <c r="H51" s="29"/>
    </row>
    <row r="52" spans="1:8" s="2" customFormat="1" ht="24" x14ac:dyDescent="0.3">
      <c r="A52" s="111">
        <v>44</v>
      </c>
      <c r="B52" s="51">
        <v>1</v>
      </c>
      <c r="C52" s="51">
        <v>1</v>
      </c>
      <c r="D52" s="19" t="s">
        <v>364</v>
      </c>
      <c r="E52" s="4" t="s">
        <v>89</v>
      </c>
      <c r="F52" s="3">
        <v>2022</v>
      </c>
      <c r="G52" s="419" t="s">
        <v>418</v>
      </c>
      <c r="H52" s="29" t="s">
        <v>731</v>
      </c>
    </row>
    <row r="53" spans="1:8" s="2" customFormat="1" ht="24" x14ac:dyDescent="0.3">
      <c r="A53" s="111">
        <v>45</v>
      </c>
      <c r="B53" s="51">
        <v>2</v>
      </c>
      <c r="C53" s="51">
        <v>2</v>
      </c>
      <c r="D53" s="19" t="s">
        <v>310</v>
      </c>
      <c r="E53" s="4" t="s">
        <v>89</v>
      </c>
      <c r="F53" s="3">
        <v>2022</v>
      </c>
      <c r="G53" s="419" t="s">
        <v>418</v>
      </c>
      <c r="H53" s="29" t="s">
        <v>731</v>
      </c>
    </row>
    <row r="54" spans="1:8" s="2" customFormat="1" ht="24.6" thickBot="1" x14ac:dyDescent="0.35">
      <c r="A54" s="113">
        <v>46</v>
      </c>
      <c r="B54" s="65">
        <v>3</v>
      </c>
      <c r="C54" s="65">
        <v>3</v>
      </c>
      <c r="D54" s="82" t="s">
        <v>293</v>
      </c>
      <c r="E54" s="79" t="s">
        <v>82</v>
      </c>
      <c r="F54" s="19">
        <v>2022</v>
      </c>
      <c r="G54" s="419" t="s">
        <v>95</v>
      </c>
      <c r="H54" s="29"/>
    </row>
    <row r="55" spans="1:8" s="2" customFormat="1" ht="16.8" thickBot="1" x14ac:dyDescent="0.35">
      <c r="A55" s="445" t="s">
        <v>365</v>
      </c>
      <c r="B55" s="446"/>
      <c r="C55" s="446"/>
      <c r="D55" s="446"/>
      <c r="E55" s="446"/>
      <c r="F55" s="442"/>
      <c r="G55" s="443"/>
      <c r="H55" s="29"/>
    </row>
    <row r="56" spans="1:8" s="2" customFormat="1" ht="24" x14ac:dyDescent="0.3">
      <c r="A56" s="111">
        <v>47</v>
      </c>
      <c r="B56" s="51">
        <v>1</v>
      </c>
      <c r="C56" s="51">
        <v>1</v>
      </c>
      <c r="D56" s="86" t="s">
        <v>170</v>
      </c>
      <c r="E56" s="104" t="s">
        <v>169</v>
      </c>
      <c r="F56" s="3">
        <v>2018</v>
      </c>
      <c r="G56" s="419" t="s">
        <v>95</v>
      </c>
      <c r="H56" s="29"/>
    </row>
    <row r="57" spans="1:8" s="2" customFormat="1" ht="24.6" thickBot="1" x14ac:dyDescent="0.35">
      <c r="A57" s="113">
        <v>48</v>
      </c>
      <c r="B57" s="65">
        <v>2</v>
      </c>
      <c r="C57" s="65">
        <v>2</v>
      </c>
      <c r="D57" s="78" t="s">
        <v>281</v>
      </c>
      <c r="E57" s="79" t="s">
        <v>62</v>
      </c>
      <c r="F57" s="3">
        <v>2022</v>
      </c>
      <c r="G57" s="419" t="s">
        <v>95</v>
      </c>
      <c r="H57" s="29"/>
    </row>
    <row r="58" spans="1:8" s="2" customFormat="1" ht="16.8" thickBot="1" x14ac:dyDescent="0.4">
      <c r="A58" s="434" t="s">
        <v>366</v>
      </c>
      <c r="B58" s="435"/>
      <c r="C58" s="435"/>
      <c r="D58" s="435"/>
      <c r="E58" s="435"/>
      <c r="F58" s="442"/>
      <c r="G58" s="443"/>
      <c r="H58" s="29"/>
    </row>
    <row r="59" spans="1:8" s="2" customFormat="1" ht="26.4" customHeight="1" x14ac:dyDescent="0.3">
      <c r="A59" s="111">
        <v>49</v>
      </c>
      <c r="B59" s="51">
        <v>1</v>
      </c>
      <c r="C59" s="51">
        <v>1</v>
      </c>
      <c r="D59" s="3" t="s">
        <v>243</v>
      </c>
      <c r="E59" s="381" t="s">
        <v>85</v>
      </c>
      <c r="F59" s="19">
        <v>2018</v>
      </c>
      <c r="G59" s="419" t="s">
        <v>95</v>
      </c>
      <c r="H59" s="29"/>
    </row>
    <row r="60" spans="1:8" s="2" customFormat="1" ht="24.6" customHeight="1" x14ac:dyDescent="0.3">
      <c r="A60" s="111"/>
      <c r="B60" s="51"/>
      <c r="C60" s="51">
        <v>2</v>
      </c>
      <c r="D60" s="29" t="s">
        <v>677</v>
      </c>
      <c r="E60" s="323" t="s">
        <v>420</v>
      </c>
      <c r="F60" s="19">
        <v>2017</v>
      </c>
      <c r="G60" s="419" t="s">
        <v>676</v>
      </c>
      <c r="H60" s="29"/>
    </row>
    <row r="61" spans="1:8" s="2" customFormat="1" x14ac:dyDescent="0.3">
      <c r="A61" s="111">
        <f>A59+1</f>
        <v>50</v>
      </c>
      <c r="B61" s="51">
        <v>2</v>
      </c>
      <c r="C61" s="51">
        <v>3</v>
      </c>
      <c r="D61" s="219" t="s">
        <v>255</v>
      </c>
      <c r="E61" s="227" t="s">
        <v>87</v>
      </c>
      <c r="F61" s="19">
        <v>2020</v>
      </c>
      <c r="G61" s="419" t="s">
        <v>95</v>
      </c>
      <c r="H61" s="29"/>
    </row>
    <row r="62" spans="1:8" s="2" customFormat="1" ht="24" x14ac:dyDescent="0.3">
      <c r="A62" s="111">
        <f>A61+1</f>
        <v>51</v>
      </c>
      <c r="B62" s="51">
        <v>3</v>
      </c>
      <c r="C62" s="51">
        <v>4</v>
      </c>
      <c r="D62" s="3" t="s">
        <v>157</v>
      </c>
      <c r="E62" s="4" t="s">
        <v>159</v>
      </c>
      <c r="F62" s="19">
        <v>2018</v>
      </c>
      <c r="G62" s="419" t="s">
        <v>112</v>
      </c>
      <c r="H62" s="29"/>
    </row>
    <row r="63" spans="1:8" s="2" customFormat="1" ht="24.6" thickBot="1" x14ac:dyDescent="0.35">
      <c r="A63" s="111">
        <f>A62+1</f>
        <v>52</v>
      </c>
      <c r="B63" s="51">
        <v>4</v>
      </c>
      <c r="C63" s="51">
        <v>5</v>
      </c>
      <c r="D63" s="19" t="s">
        <v>119</v>
      </c>
      <c r="E63" s="4" t="s">
        <v>64</v>
      </c>
      <c r="F63" s="19">
        <v>2020</v>
      </c>
      <c r="G63" s="419" t="s">
        <v>95</v>
      </c>
      <c r="H63" s="29"/>
    </row>
    <row r="64" spans="1:8" s="2" customFormat="1" ht="16.8" thickBot="1" x14ac:dyDescent="0.4">
      <c r="A64" s="434" t="s">
        <v>367</v>
      </c>
      <c r="B64" s="435"/>
      <c r="C64" s="435"/>
      <c r="D64" s="435"/>
      <c r="E64" s="435"/>
      <c r="F64" s="442"/>
      <c r="G64" s="443"/>
      <c r="H64" s="29"/>
    </row>
    <row r="65" spans="1:8" s="2" customFormat="1" ht="24" x14ac:dyDescent="0.3">
      <c r="A65" s="111">
        <v>53</v>
      </c>
      <c r="B65" s="51">
        <v>1</v>
      </c>
      <c r="C65" s="51">
        <v>1</v>
      </c>
      <c r="D65" s="3" t="s">
        <v>143</v>
      </c>
      <c r="E65" s="4" t="s">
        <v>144</v>
      </c>
      <c r="F65" s="19">
        <v>2022</v>
      </c>
      <c r="G65" s="419" t="s">
        <v>95</v>
      </c>
      <c r="H65" s="29"/>
    </row>
    <row r="66" spans="1:8" s="2" customFormat="1" ht="24" x14ac:dyDescent="0.3">
      <c r="A66" s="111">
        <f t="shared" ref="A66:A70" si="5">A65+1</f>
        <v>54</v>
      </c>
      <c r="B66" s="51">
        <v>2</v>
      </c>
      <c r="C66" s="51">
        <v>2</v>
      </c>
      <c r="D66" s="3" t="s">
        <v>334</v>
      </c>
      <c r="E66" s="4" t="s">
        <v>48</v>
      </c>
      <c r="F66" s="19"/>
      <c r="G66" s="419" t="s">
        <v>95</v>
      </c>
      <c r="H66" s="29"/>
    </row>
    <row r="67" spans="1:8" s="2" customFormat="1" ht="24" x14ac:dyDescent="0.3">
      <c r="A67" s="111">
        <f t="shared" si="5"/>
        <v>55</v>
      </c>
      <c r="B67" s="51">
        <v>3</v>
      </c>
      <c r="C67" s="51">
        <v>3</v>
      </c>
      <c r="D67" s="19" t="s">
        <v>370</v>
      </c>
      <c r="E67" s="4" t="s">
        <v>368</v>
      </c>
      <c r="F67" s="19"/>
      <c r="G67" s="419" t="s">
        <v>95</v>
      </c>
      <c r="H67" s="29" t="s">
        <v>731</v>
      </c>
    </row>
    <row r="68" spans="1:8" s="2" customFormat="1" ht="24" x14ac:dyDescent="0.3">
      <c r="A68" s="111">
        <f t="shared" si="5"/>
        <v>56</v>
      </c>
      <c r="B68" s="51">
        <v>4</v>
      </c>
      <c r="C68" s="51">
        <v>4</v>
      </c>
      <c r="D68" s="3" t="s">
        <v>371</v>
      </c>
      <c r="E68" s="4" t="s">
        <v>369</v>
      </c>
      <c r="F68" s="19">
        <v>2022</v>
      </c>
      <c r="G68" s="419" t="s">
        <v>95</v>
      </c>
      <c r="H68" s="29" t="s">
        <v>731</v>
      </c>
    </row>
    <row r="69" spans="1:8" s="2" customFormat="1" x14ac:dyDescent="0.3">
      <c r="A69" s="111" t="s">
        <v>621</v>
      </c>
      <c r="B69" s="51">
        <v>5</v>
      </c>
      <c r="C69" s="51">
        <v>5</v>
      </c>
      <c r="D69" s="3" t="s">
        <v>673</v>
      </c>
      <c r="E69" s="4" t="s">
        <v>84</v>
      </c>
      <c r="F69" s="19">
        <v>2022</v>
      </c>
      <c r="G69" s="419" t="s">
        <v>95</v>
      </c>
      <c r="H69" s="29"/>
    </row>
    <row r="70" spans="1:8" s="2" customFormat="1" ht="24" x14ac:dyDescent="0.3">
      <c r="A70" s="111" t="e">
        <f t="shared" si="5"/>
        <v>#VALUE!</v>
      </c>
      <c r="B70" s="51">
        <v>6</v>
      </c>
      <c r="C70" s="51">
        <v>6</v>
      </c>
      <c r="D70" s="3" t="s">
        <v>373</v>
      </c>
      <c r="E70" s="4" t="s">
        <v>72</v>
      </c>
      <c r="F70" s="19">
        <v>2022</v>
      </c>
      <c r="G70" s="419" t="s">
        <v>167</v>
      </c>
      <c r="H70" s="29" t="s">
        <v>731</v>
      </c>
    </row>
    <row r="71" spans="1:8" s="2" customFormat="1" x14ac:dyDescent="0.3">
      <c r="A71" s="111"/>
      <c r="B71" s="65"/>
      <c r="C71" s="65">
        <v>7</v>
      </c>
      <c r="D71" s="3" t="s">
        <v>733</v>
      </c>
      <c r="E71" s="4" t="s">
        <v>732</v>
      </c>
      <c r="F71" s="19">
        <v>2022</v>
      </c>
      <c r="G71" s="419" t="s">
        <v>95</v>
      </c>
      <c r="H71" s="29"/>
    </row>
    <row r="72" spans="1:8" s="2" customFormat="1" ht="15" thickBot="1" x14ac:dyDescent="0.35">
      <c r="A72" s="111" t="e">
        <f>A70+1</f>
        <v>#VALUE!</v>
      </c>
      <c r="B72" s="65">
        <v>7</v>
      </c>
      <c r="C72" s="65">
        <v>8</v>
      </c>
      <c r="D72" s="3" t="s">
        <v>423</v>
      </c>
      <c r="E72" s="4" t="s">
        <v>127</v>
      </c>
      <c r="F72" s="19">
        <v>2005</v>
      </c>
      <c r="G72" s="419" t="s">
        <v>112</v>
      </c>
      <c r="H72" s="29"/>
    </row>
    <row r="73" spans="1:8" s="2" customFormat="1" ht="16.8" thickBot="1" x14ac:dyDescent="0.4">
      <c r="A73" s="434" t="s">
        <v>372</v>
      </c>
      <c r="B73" s="435"/>
      <c r="C73" s="435"/>
      <c r="D73" s="435"/>
      <c r="E73" s="435"/>
      <c r="F73" s="442"/>
      <c r="G73" s="443"/>
      <c r="H73" s="29"/>
    </row>
    <row r="74" spans="1:8" s="2" customFormat="1" ht="24" x14ac:dyDescent="0.3">
      <c r="A74" s="111">
        <v>60</v>
      </c>
      <c r="B74" s="51">
        <v>1</v>
      </c>
      <c r="C74" s="51">
        <v>1</v>
      </c>
      <c r="D74" s="19" t="s">
        <v>335</v>
      </c>
      <c r="E74" s="4" t="s">
        <v>52</v>
      </c>
      <c r="F74" s="19">
        <v>2022</v>
      </c>
      <c r="G74" s="419" t="s">
        <v>95</v>
      </c>
      <c r="H74" s="29"/>
    </row>
    <row r="75" spans="1:8" s="2" customFormat="1" ht="24" x14ac:dyDescent="0.3">
      <c r="A75" s="111">
        <f>A74+1</f>
        <v>61</v>
      </c>
      <c r="B75" s="51">
        <v>2</v>
      </c>
      <c r="C75" s="51">
        <v>2</v>
      </c>
      <c r="D75" s="19" t="s">
        <v>122</v>
      </c>
      <c r="E75" s="4" t="s">
        <v>269</v>
      </c>
      <c r="F75" s="19">
        <v>2022</v>
      </c>
      <c r="G75" s="419" t="s">
        <v>95</v>
      </c>
      <c r="H75" s="29"/>
    </row>
    <row r="76" spans="1:8" s="2" customFormat="1" ht="24" x14ac:dyDescent="0.3">
      <c r="A76" s="111">
        <f t="shared" ref="A76:A82" si="6">A75+1</f>
        <v>62</v>
      </c>
      <c r="B76" s="51">
        <v>3</v>
      </c>
      <c r="C76" s="51">
        <v>3</v>
      </c>
      <c r="D76" s="19" t="s">
        <v>271</v>
      </c>
      <c r="E76" s="4" t="s">
        <v>269</v>
      </c>
      <c r="F76" s="19">
        <v>2022</v>
      </c>
      <c r="G76" s="418" t="s">
        <v>95</v>
      </c>
      <c r="H76" s="29"/>
    </row>
    <row r="77" spans="1:8" s="2" customFormat="1" x14ac:dyDescent="0.3">
      <c r="A77" s="111">
        <f t="shared" si="6"/>
        <v>63</v>
      </c>
      <c r="B77" s="51">
        <v>4</v>
      </c>
      <c r="C77" s="51">
        <v>4</v>
      </c>
      <c r="D77" s="19" t="s">
        <v>496</v>
      </c>
      <c r="E77" s="4" t="s">
        <v>56</v>
      </c>
      <c r="F77" s="19">
        <v>2013</v>
      </c>
      <c r="G77" s="419" t="s">
        <v>95</v>
      </c>
      <c r="H77" s="29"/>
    </row>
    <row r="78" spans="1:8" s="2" customFormat="1" ht="25.2" customHeight="1" x14ac:dyDescent="0.3">
      <c r="A78" s="111">
        <f t="shared" si="6"/>
        <v>64</v>
      </c>
      <c r="B78" s="51">
        <v>5</v>
      </c>
      <c r="C78" s="51">
        <v>5</v>
      </c>
      <c r="D78" s="19" t="s">
        <v>374</v>
      </c>
      <c r="E78" s="4" t="s">
        <v>58</v>
      </c>
      <c r="F78" s="19">
        <v>2024</v>
      </c>
      <c r="G78" s="419" t="s">
        <v>95</v>
      </c>
      <c r="H78" s="29"/>
    </row>
    <row r="79" spans="1:8" s="2" customFormat="1" ht="24" x14ac:dyDescent="0.3">
      <c r="A79" s="111">
        <f t="shared" si="6"/>
        <v>65</v>
      </c>
      <c r="B79" s="51">
        <v>6</v>
      </c>
      <c r="C79" s="51">
        <v>6</v>
      </c>
      <c r="D79" s="19" t="s">
        <v>375</v>
      </c>
      <c r="E79" s="4" t="s">
        <v>60</v>
      </c>
      <c r="F79" s="19">
        <v>2024</v>
      </c>
      <c r="G79" s="419" t="s">
        <v>95</v>
      </c>
      <c r="H79" s="29"/>
    </row>
    <row r="80" spans="1:8" s="2" customFormat="1" ht="36" x14ac:dyDescent="0.3">
      <c r="A80" s="111">
        <f t="shared" si="6"/>
        <v>66</v>
      </c>
      <c r="B80" s="51">
        <v>7</v>
      </c>
      <c r="C80" s="51">
        <v>7</v>
      </c>
      <c r="D80" s="19" t="s">
        <v>155</v>
      </c>
      <c r="E80" s="4" t="s">
        <v>153</v>
      </c>
      <c r="F80" s="19">
        <v>2019</v>
      </c>
      <c r="G80" s="419" t="s">
        <v>95</v>
      </c>
      <c r="H80" s="29"/>
    </row>
    <row r="81" spans="1:8" s="2" customFormat="1" x14ac:dyDescent="0.3">
      <c r="A81" s="111">
        <f t="shared" si="6"/>
        <v>67</v>
      </c>
      <c r="B81" s="51">
        <v>8</v>
      </c>
      <c r="C81" s="51">
        <v>8</v>
      </c>
      <c r="D81" s="19" t="s">
        <v>141</v>
      </c>
      <c r="E81" s="4" t="s">
        <v>76</v>
      </c>
      <c r="F81" s="19">
        <v>2005</v>
      </c>
      <c r="G81" s="419" t="s">
        <v>95</v>
      </c>
      <c r="H81" s="29"/>
    </row>
    <row r="82" spans="1:8" s="2" customFormat="1" ht="24.6" thickBot="1" x14ac:dyDescent="0.35">
      <c r="A82" s="111">
        <f t="shared" si="6"/>
        <v>68</v>
      </c>
      <c r="B82" s="65">
        <v>9</v>
      </c>
      <c r="C82" s="65">
        <v>9</v>
      </c>
      <c r="D82" s="78" t="s">
        <v>142</v>
      </c>
      <c r="E82" s="79" t="s">
        <v>78</v>
      </c>
      <c r="F82" s="19">
        <v>2010</v>
      </c>
      <c r="G82" s="421" t="s">
        <v>95</v>
      </c>
      <c r="H82" s="29"/>
    </row>
    <row r="83" spans="1:8" s="2" customFormat="1" ht="16.8" thickBot="1" x14ac:dyDescent="0.4">
      <c r="A83" s="434" t="s">
        <v>376</v>
      </c>
      <c r="B83" s="435"/>
      <c r="C83" s="435"/>
      <c r="D83" s="435"/>
      <c r="E83" s="435"/>
      <c r="F83" s="447"/>
      <c r="G83" s="443"/>
      <c r="H83" s="29"/>
    </row>
    <row r="84" spans="1:8" s="2" customFormat="1" ht="24" x14ac:dyDescent="0.3">
      <c r="A84" s="111">
        <v>69</v>
      </c>
      <c r="B84" s="51">
        <v>1</v>
      </c>
      <c r="C84" s="51">
        <v>1</v>
      </c>
      <c r="D84" s="19" t="s">
        <v>377</v>
      </c>
      <c r="E84" s="45" t="s">
        <v>38</v>
      </c>
      <c r="F84" s="89">
        <v>2011</v>
      </c>
      <c r="G84" s="417" t="s">
        <v>95</v>
      </c>
      <c r="H84" s="29"/>
    </row>
    <row r="85" spans="1:8" s="2" customFormat="1" ht="24" x14ac:dyDescent="0.3">
      <c r="A85" s="111">
        <v>70</v>
      </c>
      <c r="B85" s="51">
        <v>2</v>
      </c>
      <c r="C85" s="51">
        <v>2</v>
      </c>
      <c r="D85" s="19" t="s">
        <v>164</v>
      </c>
      <c r="E85" s="45" t="s">
        <v>39</v>
      </c>
      <c r="F85" s="19">
        <v>2012</v>
      </c>
      <c r="G85" s="419" t="s">
        <v>95</v>
      </c>
      <c r="H85" s="29"/>
    </row>
    <row r="86" spans="1:8" s="2" customFormat="1" ht="24.6" thickBot="1" x14ac:dyDescent="0.35">
      <c r="A86" s="113">
        <v>71</v>
      </c>
      <c r="B86" s="65">
        <v>3</v>
      </c>
      <c r="C86" s="65">
        <v>3</v>
      </c>
      <c r="D86" s="50" t="s">
        <v>111</v>
      </c>
      <c r="E86" s="100" t="s">
        <v>106</v>
      </c>
      <c r="F86" s="82">
        <v>2008</v>
      </c>
      <c r="G86" s="421" t="s">
        <v>112</v>
      </c>
      <c r="H86" s="29"/>
    </row>
    <row r="87" spans="1:8" s="2" customFormat="1" ht="16.8" thickBot="1" x14ac:dyDescent="0.4">
      <c r="A87" s="434" t="s">
        <v>378</v>
      </c>
      <c r="B87" s="435"/>
      <c r="C87" s="435"/>
      <c r="D87" s="435"/>
      <c r="E87" s="448"/>
      <c r="F87" s="442"/>
      <c r="G87" s="443"/>
      <c r="H87" s="29"/>
    </row>
    <row r="88" spans="1:8" s="2" customFormat="1" x14ac:dyDescent="0.3">
      <c r="A88" s="111">
        <v>72</v>
      </c>
      <c r="B88" s="385">
        <v>1</v>
      </c>
      <c r="C88" s="404">
        <v>1</v>
      </c>
      <c r="D88" s="386" t="s">
        <v>137</v>
      </c>
      <c r="E88" s="57" t="s">
        <v>81</v>
      </c>
      <c r="F88" s="58">
        <v>2012</v>
      </c>
      <c r="G88" s="419" t="s">
        <v>95</v>
      </c>
      <c r="H88" s="29"/>
    </row>
    <row r="89" spans="1:8" s="2" customFormat="1" ht="24" x14ac:dyDescent="0.3">
      <c r="A89" s="111">
        <f>A88+1</f>
        <v>73</v>
      </c>
      <c r="B89" s="385">
        <v>2</v>
      </c>
      <c r="C89" s="404">
        <v>2</v>
      </c>
      <c r="D89" s="114" t="s">
        <v>207</v>
      </c>
      <c r="E89" s="45" t="s">
        <v>208</v>
      </c>
      <c r="F89" s="3">
        <v>2010</v>
      </c>
      <c r="G89" s="419" t="s">
        <v>95</v>
      </c>
      <c r="H89" s="29"/>
    </row>
  </sheetData>
  <autoFilter ref="B1:G89" xr:uid="{00000000-0009-0000-0000-000000000000}"/>
  <mergeCells count="28">
    <mergeCell ref="A83:E83"/>
    <mergeCell ref="F83:G83"/>
    <mergeCell ref="A87:E87"/>
    <mergeCell ref="F87:G87"/>
    <mergeCell ref="A58:E58"/>
    <mergeCell ref="F58:G58"/>
    <mergeCell ref="A64:E64"/>
    <mergeCell ref="F64:G64"/>
    <mergeCell ref="A73:E73"/>
    <mergeCell ref="F73:G73"/>
    <mergeCell ref="A47:E47"/>
    <mergeCell ref="F47:G47"/>
    <mergeCell ref="A51:E51"/>
    <mergeCell ref="F51:G51"/>
    <mergeCell ref="A55:E55"/>
    <mergeCell ref="F55:G55"/>
    <mergeCell ref="A27:E27"/>
    <mergeCell ref="F27:G27"/>
    <mergeCell ref="A31:E31"/>
    <mergeCell ref="F31:G31"/>
    <mergeCell ref="A44:E44"/>
    <mergeCell ref="F44:G44"/>
    <mergeCell ref="A2:E2"/>
    <mergeCell ref="F2:G2"/>
    <mergeCell ref="A10:E10"/>
    <mergeCell ref="F10:G10"/>
    <mergeCell ref="A23:E23"/>
    <mergeCell ref="F23:G23"/>
  </mergeCells>
  <pageMargins left="0.11811023622047245" right="0.11811023622047245" top="0" bottom="0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БАЗА</vt:lpstr>
      <vt:lpstr>Лист1</vt:lpstr>
      <vt:lpstr>самосвалы</vt:lpstr>
      <vt:lpstr>остатки ГСМ</vt:lpstr>
      <vt:lpstr>ремонты</vt:lpstr>
      <vt:lpstr>Лист1 (2)</vt:lpstr>
      <vt:lpstr>бирка на карту</vt:lpstr>
      <vt:lpstr>бирка папка</vt:lpstr>
      <vt:lpstr>бирка ключи</vt:lpstr>
      <vt:lpstr>тралы</vt:lpstr>
      <vt:lpstr>БАЗА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пк</cp:lastModifiedBy>
  <cp:lastPrinted>2026-07-02T16:22:57Z</cp:lastPrinted>
  <dcterms:created xsi:type="dcterms:W3CDTF">2021-10-28T12:32:07Z</dcterms:created>
  <dcterms:modified xsi:type="dcterms:W3CDTF">2026-09-08T08:32:37Z</dcterms:modified>
</cp:coreProperties>
</file>