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пк\Desktop\"/>
    </mc:Choice>
  </mc:AlternateContent>
  <xr:revisionPtr revIDLastSave="0" documentId="13_ncr:1_{435CEE1D-5AFD-4249-BE57-A42CADD6C31B}" xr6:coauthVersionLast="47" xr6:coauthVersionMax="47" xr10:uidLastSave="{00000000-0000-0000-0000-000000000000}"/>
  <bookViews>
    <workbookView xWindow="-108" yWindow="-108" windowWidth="23256" windowHeight="12456" tabRatio="827" firstSheet="34" activeTab="47" xr2:uid="{00000000-000D-0000-FFFF-FFFF00000000}"/>
  </bookViews>
  <sheets>
    <sheet name="Содержание" sheetId="1" r:id="rId1"/>
    <sheet name="нива" sheetId="2" r:id="rId2"/>
    <sheet name="шкода" sheetId="3" r:id="rId3"/>
    <sheet name="Camry" sheetId="79" r:id="rId4"/>
    <sheet name="ЛК002" sheetId="4" r:id="rId5"/>
    <sheet name="Geely" sheetId="5" r:id="rId6"/>
    <sheet name="Haval" sheetId="6" r:id="rId7"/>
    <sheet name="LR-RR " sheetId="7" r:id="rId8"/>
    <sheet name="VW " sheetId="8" r:id="rId9"/>
    <sheet name="Kia" sheetId="9" r:id="rId10"/>
    <sheet name="Г 035" sheetId="17" r:id="rId11"/>
    <sheet name="Г 171" sheetId="11" r:id="rId12"/>
    <sheet name="Г 456" sheetId="12" r:id="rId13"/>
    <sheet name="Г 189" sheetId="14" r:id="rId14"/>
    <sheet name="Г 503" sheetId="16" r:id="rId15"/>
    <sheet name="Г 789" sheetId="10" r:id="rId16"/>
    <sheet name="Г 900" sheetId="13" r:id="rId17"/>
    <sheet name="Г 908" sheetId="25" r:id="rId18"/>
    <sheet name="Г 982" sheetId="15" r:id="rId19"/>
    <sheet name="FT 335" sheetId="20" r:id="rId20"/>
    <sheet name="FT 344" sheetId="21" r:id="rId21"/>
    <sheet name="FT 390" sheetId="23" r:id="rId22"/>
    <sheet name="FT 479" sheetId="18" r:id="rId23"/>
    <sheet name="FT 680" sheetId="22" r:id="rId24"/>
    <sheet name="FT 978" sheetId="19" r:id="rId25"/>
    <sheet name="Foton" sheetId="24" r:id="rId26"/>
    <sheet name="КО" sheetId="26" r:id="rId27"/>
    <sheet name="Гудронатор" sheetId="27" r:id="rId28"/>
    <sheet name="К 487" sheetId="32" r:id="rId29"/>
    <sheet name="К 877" sheetId="28" r:id="rId30"/>
    <sheet name="К 927" sheetId="29" r:id="rId31"/>
    <sheet name="К 983" sheetId="30" r:id="rId32"/>
    <sheet name="К 994" sheetId="31" r:id="rId33"/>
    <sheet name="SH 152" sheetId="33" r:id="rId34"/>
    <sheet name="SH 265" sheetId="36" r:id="rId35"/>
    <sheet name="SH 287" sheetId="35" r:id="rId36"/>
    <sheet name="К 320" sheetId="34" r:id="rId37"/>
    <sheet name="SH 989" sheetId="37" r:id="rId38"/>
    <sheet name="Sitrak" sheetId="38" r:id="rId39"/>
    <sheet name="Scania" sheetId="39" r:id="rId40"/>
    <sheet name="Specpricep" sheetId="40" r:id="rId41"/>
    <sheet name="Sinanli" sheetId="41" r:id="rId42"/>
    <sheet name="Ensign 8102" sheetId="42" r:id="rId43"/>
    <sheet name="Ensign 8101" sheetId="43" r:id="rId44"/>
    <sheet name="XCMG" sheetId="44" r:id="rId45"/>
    <sheet name="Case 4294" sheetId="45" r:id="rId46"/>
    <sheet name="Case 7010" sheetId="46" r:id="rId47"/>
    <sheet name="Case 580" sheetId="47" r:id="rId48"/>
    <sheet name="Case 570" sheetId="48" r:id="rId49"/>
    <sheet name="CAT 428" sheetId="49" r:id="rId50"/>
    <sheet name="CAT 432" sheetId="50" r:id="rId51"/>
    <sheet name="МТЗ 82" sheetId="51" r:id="rId52"/>
    <sheet name="Sanny 55" sheetId="52" r:id="rId53"/>
    <sheet name="Sanny 75" sheetId="53" r:id="rId54"/>
    <sheet name="Sanny 9524" sheetId="54" r:id="rId55"/>
    <sheet name="Sanny 9525" sheetId="55" r:id="rId56"/>
    <sheet name="Sanny 6820" sheetId="56" r:id="rId57"/>
    <sheet name="Sanny 7013" sheetId="57" r:id="rId58"/>
    <sheet name="CAT 318" sheetId="58" r:id="rId59"/>
    <sheet name="Sanny 330" sheetId="86" r:id="rId60"/>
    <sheet name="Liugong" sheetId="59" r:id="rId61"/>
    <sheet name="Ammann 4897" sheetId="69" r:id="rId62"/>
    <sheet name="Amann 7057" sheetId="60" r:id="rId63"/>
    <sheet name="Ammann 7011" sheetId="61" r:id="rId64"/>
    <sheet name="Hamm 4698" sheetId="62" r:id="rId65"/>
    <sheet name="Hamm 4897" sheetId="70" r:id="rId66"/>
    <sheet name="ZDM 9579" sheetId="67" r:id="rId67"/>
    <sheet name="ZDM 9580" sheetId="68" r:id="rId68"/>
    <sheet name="BW 161" sheetId="71" r:id="rId69"/>
    <sheet name="Vogel 6821" sheetId="72" r:id="rId70"/>
    <sheet name="Vogel 5812" sheetId="73" r:id="rId71"/>
    <sheet name="Vogel 7351" sheetId="74" r:id="rId72"/>
    <sheet name="W 210" sheetId="75" r:id="rId73"/>
    <sheet name="W 200" sheetId="76" r:id="rId74"/>
    <sheet name="CAT 8497" sheetId="77" r:id="rId75"/>
    <sheet name="CAT 6778" sheetId="78" r:id="rId7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74" l="1"/>
  <c r="E13" i="74"/>
  <c r="E8" i="74"/>
  <c r="E9" i="74"/>
  <c r="E10" i="74"/>
  <c r="E11" i="74"/>
  <c r="E14" i="58"/>
  <c r="E15" i="58"/>
  <c r="E16" i="58"/>
  <c r="E17" i="58"/>
  <c r="E18" i="58"/>
  <c r="E14" i="30"/>
  <c r="E15" i="30"/>
  <c r="E16" i="30"/>
  <c r="E17" i="30"/>
  <c r="E18" i="30"/>
  <c r="E19" i="30"/>
  <c r="E9" i="55"/>
  <c r="E10" i="55"/>
  <c r="E11" i="55"/>
  <c r="E12" i="55"/>
  <c r="E13" i="55"/>
  <c r="E14" i="55"/>
  <c r="E15" i="55"/>
  <c r="E16" i="55"/>
  <c r="E9" i="73"/>
  <c r="E10" i="73"/>
  <c r="E11" i="73"/>
  <c r="E12" i="73"/>
  <c r="E13" i="73"/>
  <c r="E14" i="73"/>
  <c r="E15" i="73"/>
  <c r="E9" i="23"/>
  <c r="E10" i="23"/>
  <c r="E11" i="23"/>
  <c r="E12" i="23"/>
  <c r="E13" i="23"/>
  <c r="E8" i="28"/>
  <c r="E9" i="28"/>
  <c r="E10" i="28"/>
  <c r="E11" i="28"/>
  <c r="E12" i="28"/>
  <c r="E13" i="28"/>
  <c r="E13" i="47"/>
  <c r="E14" i="47"/>
  <c r="E15" i="47"/>
  <c r="E16" i="47"/>
  <c r="E17" i="47"/>
  <c r="E18" i="47"/>
  <c r="E9" i="41"/>
  <c r="E10" i="41"/>
  <c r="E11" i="41"/>
  <c r="E12" i="41"/>
  <c r="E13" i="41"/>
  <c r="E14" i="41"/>
  <c r="E15" i="41"/>
  <c r="E15" i="76"/>
  <c r="E16" i="76"/>
  <c r="E17" i="76"/>
  <c r="E18" i="76"/>
  <c r="E19" i="76"/>
  <c r="E20" i="76"/>
  <c r="E16" i="75"/>
  <c r="E17" i="75"/>
  <c r="E18" i="75"/>
  <c r="E19" i="75"/>
  <c r="E20" i="75"/>
  <c r="E21" i="75"/>
  <c r="E11" i="39"/>
  <c r="E12" i="39"/>
  <c r="E13" i="39"/>
  <c r="E14" i="39"/>
  <c r="E15" i="39"/>
  <c r="E16" i="39"/>
  <c r="E19" i="48"/>
  <c r="E20" i="48"/>
  <c r="E21" i="48"/>
  <c r="E22" i="48"/>
  <c r="E23" i="48"/>
  <c r="E24" i="48"/>
  <c r="E9" i="53"/>
  <c r="E10" i="53"/>
  <c r="E11" i="53"/>
  <c r="E12" i="53"/>
  <c r="E13" i="53"/>
  <c r="E14" i="53"/>
  <c r="E10" i="70"/>
  <c r="E11" i="70"/>
  <c r="E12" i="70"/>
  <c r="E13" i="70"/>
  <c r="E14" i="70"/>
  <c r="E15" i="70"/>
  <c r="E16" i="70"/>
  <c r="E17" i="70"/>
  <c r="E9" i="33"/>
  <c r="E10" i="33"/>
  <c r="E11" i="33"/>
  <c r="E12" i="33"/>
  <c r="E13" i="33"/>
  <c r="E14" i="33"/>
  <c r="E15" i="33"/>
  <c r="E9" i="35"/>
  <c r="E10" i="35"/>
  <c r="E11" i="35"/>
  <c r="E12" i="35"/>
  <c r="E13" i="35"/>
  <c r="E14" i="35"/>
  <c r="E9" i="46"/>
  <c r="E10" i="46"/>
  <c r="E11" i="46"/>
  <c r="E12" i="46"/>
  <c r="E13" i="46"/>
  <c r="E14" i="46"/>
  <c r="E15" i="46"/>
  <c r="E16" i="46"/>
  <c r="E17" i="46"/>
  <c r="E11" i="29"/>
  <c r="E12" i="29"/>
  <c r="E13" i="29"/>
  <c r="E14" i="29"/>
  <c r="E15" i="29"/>
  <c r="E16" i="29"/>
  <c r="E17" i="29"/>
  <c r="E18" i="29"/>
  <c r="E9" i="76"/>
  <c r="E10" i="76"/>
  <c r="E11" i="76"/>
  <c r="E12" i="76"/>
  <c r="E13" i="76"/>
  <c r="E14" i="76"/>
  <c r="E9" i="40"/>
  <c r="E10" i="40"/>
  <c r="E11" i="40"/>
  <c r="E12" i="40"/>
  <c r="E13" i="40"/>
  <c r="E14" i="40"/>
  <c r="E14" i="38"/>
  <c r="E15" i="38"/>
  <c r="E16" i="38"/>
  <c r="E17" i="38"/>
  <c r="E18" i="38"/>
  <c r="E19" i="38"/>
  <c r="E20" i="38"/>
  <c r="E12" i="75"/>
  <c r="E13" i="75"/>
  <c r="E14" i="75"/>
  <c r="E15" i="75"/>
  <c r="E10" i="86"/>
  <c r="E11" i="86"/>
  <c r="E12" i="86"/>
  <c r="E13" i="86"/>
  <c r="E14" i="86"/>
  <c r="E15" i="86"/>
  <c r="E16" i="86"/>
  <c r="E17" i="86"/>
  <c r="E10" i="45" l="1"/>
  <c r="E11" i="45"/>
  <c r="E12" i="45"/>
  <c r="E13" i="45"/>
  <c r="E18" i="48"/>
  <c r="E25" i="48"/>
  <c r="E17" i="48"/>
  <c r="E11" i="72"/>
  <c r="E12" i="72"/>
  <c r="E13" i="72"/>
  <c r="E14" i="72"/>
  <c r="E15" i="72"/>
  <c r="E16" i="72"/>
  <c r="E10" i="72"/>
  <c r="E17" i="72"/>
  <c r="E18" i="72"/>
  <c r="E9" i="50" l="1"/>
  <c r="E10" i="50"/>
  <c r="E11" i="50"/>
  <c r="E12" i="50"/>
  <c r="E12" i="31"/>
  <c r="E13" i="31"/>
  <c r="E14" i="31"/>
  <c r="E15" i="31"/>
  <c r="E16" i="31"/>
  <c r="E17" i="31"/>
  <c r="E18" i="31"/>
  <c r="E10" i="47"/>
  <c r="E11" i="47"/>
  <c r="E12" i="47"/>
  <c r="E19" i="47"/>
  <c r="E20" i="47"/>
  <c r="E7" i="39"/>
  <c r="E8" i="39"/>
  <c r="E9" i="39"/>
  <c r="E10" i="39"/>
  <c r="E10" i="58"/>
  <c r="E11" i="58"/>
  <c r="E12" i="58"/>
  <c r="E13" i="58"/>
  <c r="E19" i="58"/>
  <c r="E20" i="58"/>
  <c r="E16" i="48"/>
  <c r="G73" i="1"/>
  <c r="F73" i="1"/>
  <c r="E73" i="1" s="1"/>
  <c r="G19" i="86"/>
  <c r="F19" i="86"/>
  <c r="E18" i="86"/>
  <c r="E9" i="86"/>
  <c r="E8" i="86"/>
  <c r="E7" i="86"/>
  <c r="E6" i="86"/>
  <c r="E10" i="75"/>
  <c r="E11" i="75"/>
  <c r="E22" i="75"/>
  <c r="E19" i="86" l="1"/>
  <c r="E8" i="49"/>
  <c r="E9" i="49"/>
  <c r="E10" i="49"/>
  <c r="E6" i="42"/>
  <c r="E9" i="44"/>
  <c r="E10" i="44"/>
  <c r="E10" i="38" l="1"/>
  <c r="E11" i="38"/>
  <c r="E12" i="38"/>
  <c r="E13" i="38"/>
  <c r="E21" i="38"/>
  <c r="E22" i="38"/>
  <c r="E10" i="30"/>
  <c r="E11" i="30"/>
  <c r="E12" i="30"/>
  <c r="E13" i="30"/>
  <c r="E6" i="23"/>
  <c r="E13" i="48"/>
  <c r="E14" i="48"/>
  <c r="E15" i="48"/>
  <c r="E26" i="48"/>
  <c r="E10" i="31"/>
  <c r="E11" i="31"/>
  <c r="E19" i="31"/>
  <c r="E7" i="29"/>
  <c r="E8" i="29"/>
  <c r="E8" i="31"/>
  <c r="E9" i="31"/>
  <c r="E9" i="48"/>
  <c r="E10" i="48"/>
  <c r="E11" i="48"/>
  <c r="E7" i="73"/>
  <c r="E9" i="52"/>
  <c r="E10" i="52"/>
  <c r="E7" i="70"/>
  <c r="E6" i="73"/>
  <c r="G91" i="1"/>
  <c r="F92" i="1"/>
  <c r="G92" i="1"/>
  <c r="E10" i="78"/>
  <c r="E9" i="78"/>
  <c r="E8" i="78"/>
  <c r="E7" i="78"/>
  <c r="E6" i="78"/>
  <c r="E10" i="77"/>
  <c r="E9" i="77"/>
  <c r="E8" i="77"/>
  <c r="E7" i="77"/>
  <c r="E6" i="77"/>
  <c r="E22" i="76"/>
  <c r="E21" i="76"/>
  <c r="E8" i="76"/>
  <c r="E7" i="76"/>
  <c r="E6" i="76"/>
  <c r="E23" i="75"/>
  <c r="E9" i="75"/>
  <c r="E8" i="75"/>
  <c r="E7" i="75"/>
  <c r="E6" i="75"/>
  <c r="E15" i="74"/>
  <c r="E14" i="74"/>
  <c r="E7" i="74"/>
  <c r="E6" i="74"/>
  <c r="E17" i="73"/>
  <c r="E16" i="73"/>
  <c r="E8" i="73"/>
  <c r="E9" i="72"/>
  <c r="E8" i="72"/>
  <c r="E7" i="72"/>
  <c r="E6" i="72"/>
  <c r="E10" i="71"/>
  <c r="E9" i="71"/>
  <c r="E8" i="71"/>
  <c r="E7" i="71"/>
  <c r="E6" i="71"/>
  <c r="E10" i="68"/>
  <c r="E9" i="68"/>
  <c r="E8" i="68"/>
  <c r="E7" i="68"/>
  <c r="E6" i="68"/>
  <c r="E10" i="67"/>
  <c r="E9" i="67"/>
  <c r="E8" i="67"/>
  <c r="E7" i="67"/>
  <c r="E6" i="67"/>
  <c r="E18" i="70"/>
  <c r="E9" i="70"/>
  <c r="E8" i="70"/>
  <c r="E6" i="70"/>
  <c r="E10" i="62"/>
  <c r="E9" i="62"/>
  <c r="E8" i="62"/>
  <c r="E7" i="62"/>
  <c r="E6" i="62"/>
  <c r="E10" i="61"/>
  <c r="E9" i="61"/>
  <c r="E8" i="61"/>
  <c r="E7" i="61"/>
  <c r="E6" i="61"/>
  <c r="E10" i="60"/>
  <c r="E9" i="60"/>
  <c r="E8" i="60"/>
  <c r="E7" i="60"/>
  <c r="E6" i="60"/>
  <c r="E10" i="69"/>
  <c r="E9" i="69"/>
  <c r="E8" i="69"/>
  <c r="E7" i="69"/>
  <c r="E6" i="69"/>
  <c r="E10" i="59"/>
  <c r="E9" i="59"/>
  <c r="E8" i="59"/>
  <c r="E7" i="59"/>
  <c r="E6" i="59"/>
  <c r="E21" i="58"/>
  <c r="E9" i="58"/>
  <c r="E8" i="58"/>
  <c r="E7" i="58"/>
  <c r="E6" i="58"/>
  <c r="E10" i="57"/>
  <c r="E9" i="57"/>
  <c r="E8" i="57"/>
  <c r="E7" i="57"/>
  <c r="E6" i="57"/>
  <c r="E10" i="56"/>
  <c r="E9" i="56"/>
  <c r="E8" i="56"/>
  <c r="E7" i="56"/>
  <c r="E6" i="56"/>
  <c r="E18" i="55"/>
  <c r="E17" i="55"/>
  <c r="E8" i="55"/>
  <c r="E7" i="55"/>
  <c r="E6" i="55"/>
  <c r="E10" i="54"/>
  <c r="E9" i="54"/>
  <c r="E8" i="54"/>
  <c r="E7" i="54"/>
  <c r="E6" i="54"/>
  <c r="E16" i="53"/>
  <c r="E15" i="53"/>
  <c r="E8" i="53"/>
  <c r="E7" i="53"/>
  <c r="E6" i="53"/>
  <c r="E12" i="52"/>
  <c r="E11" i="52"/>
  <c r="E8" i="52"/>
  <c r="E7" i="52"/>
  <c r="E6" i="52"/>
  <c r="E10" i="51"/>
  <c r="E9" i="51"/>
  <c r="E8" i="51"/>
  <c r="E7" i="51"/>
  <c r="E6" i="51"/>
  <c r="E14" i="50"/>
  <c r="E13" i="50"/>
  <c r="E8" i="50"/>
  <c r="E7" i="50"/>
  <c r="E6" i="50"/>
  <c r="E13" i="49"/>
  <c r="E12" i="49"/>
  <c r="E11" i="49"/>
  <c r="E7" i="49"/>
  <c r="E6" i="49"/>
  <c r="E27" i="48"/>
  <c r="E12" i="48"/>
  <c r="E8" i="48"/>
  <c r="E7" i="48"/>
  <c r="E6" i="48"/>
  <c r="E21" i="47"/>
  <c r="E9" i="47"/>
  <c r="E8" i="47"/>
  <c r="E7" i="47"/>
  <c r="E6" i="47"/>
  <c r="E19" i="46"/>
  <c r="E18" i="46"/>
  <c r="E8" i="46"/>
  <c r="E7" i="46"/>
  <c r="E6" i="46"/>
  <c r="E14" i="45"/>
  <c r="E9" i="45"/>
  <c r="E8" i="45"/>
  <c r="E7" i="45"/>
  <c r="E6" i="45"/>
  <c r="E7" i="44"/>
  <c r="E8" i="44"/>
  <c r="E12" i="44"/>
  <c r="E13" i="44"/>
  <c r="E6" i="44"/>
  <c r="E7" i="43"/>
  <c r="E8" i="43"/>
  <c r="E9" i="43"/>
  <c r="E10" i="43"/>
  <c r="E6" i="43"/>
  <c r="E7" i="42"/>
  <c r="E8" i="42"/>
  <c r="E9" i="42"/>
  <c r="E10" i="42"/>
  <c r="E7" i="41"/>
  <c r="E8" i="41"/>
  <c r="E16" i="41"/>
  <c r="E17" i="41"/>
  <c r="E6" i="41"/>
  <c r="E7" i="40"/>
  <c r="E8" i="40"/>
  <c r="E15" i="40"/>
  <c r="E16" i="40"/>
  <c r="E6" i="40"/>
  <c r="E17" i="39"/>
  <c r="E18" i="39"/>
  <c r="E19" i="39"/>
  <c r="E20" i="39"/>
  <c r="E6" i="39"/>
  <c r="E8" i="38"/>
  <c r="E9" i="38"/>
  <c r="E23" i="38"/>
  <c r="E7" i="37"/>
  <c r="E8" i="37"/>
  <c r="E9" i="37"/>
  <c r="E10" i="37"/>
  <c r="E6" i="37"/>
  <c r="E7" i="34"/>
  <c r="E8" i="34"/>
  <c r="E9" i="34"/>
  <c r="E10" i="34"/>
  <c r="E6" i="34"/>
  <c r="E7" i="35"/>
  <c r="E8" i="35"/>
  <c r="E15" i="35"/>
  <c r="E16" i="35"/>
  <c r="E6" i="35"/>
  <c r="E7" i="36"/>
  <c r="E8" i="36"/>
  <c r="E9" i="36"/>
  <c r="E10" i="36"/>
  <c r="E6" i="36"/>
  <c r="E8" i="33"/>
  <c r="E16" i="33"/>
  <c r="E17" i="33"/>
  <c r="E6" i="33"/>
  <c r="E7" i="31"/>
  <c r="E20" i="31"/>
  <c r="E6" i="31"/>
  <c r="E7" i="30"/>
  <c r="E8" i="30"/>
  <c r="E9" i="30"/>
  <c r="E20" i="30"/>
  <c r="E6" i="30"/>
  <c r="E9" i="29"/>
  <c r="E10" i="29"/>
  <c r="E19" i="29"/>
  <c r="E6" i="29"/>
  <c r="E7" i="28"/>
  <c r="E14" i="28"/>
  <c r="E15" i="28"/>
  <c r="E16" i="28"/>
  <c r="E6" i="28"/>
  <c r="E7" i="32"/>
  <c r="E8" i="32"/>
  <c r="E9" i="32"/>
  <c r="E10" i="32"/>
  <c r="E6" i="32"/>
  <c r="E7" i="27"/>
  <c r="E8" i="27"/>
  <c r="E9" i="27"/>
  <c r="E10" i="27"/>
  <c r="E6" i="27"/>
  <c r="E7" i="26"/>
  <c r="E8" i="26"/>
  <c r="E9" i="26"/>
  <c r="E10" i="26"/>
  <c r="E6" i="26"/>
  <c r="E7" i="24"/>
  <c r="E8" i="24"/>
  <c r="E9" i="24"/>
  <c r="E10" i="24"/>
  <c r="E6" i="24"/>
  <c r="E7" i="19"/>
  <c r="E8" i="19"/>
  <c r="E9" i="19"/>
  <c r="E10" i="19"/>
  <c r="E6" i="19"/>
  <c r="E7" i="22"/>
  <c r="E8" i="22"/>
  <c r="E9" i="22"/>
  <c r="E10" i="22"/>
  <c r="E7" i="18"/>
  <c r="E8" i="18"/>
  <c r="E9" i="18"/>
  <c r="E10" i="18"/>
  <c r="E6" i="18"/>
  <c r="E7" i="23"/>
  <c r="E8" i="23"/>
  <c r="E14" i="23"/>
  <c r="E15" i="23"/>
  <c r="E7" i="21"/>
  <c r="E8" i="21"/>
  <c r="E9" i="21"/>
  <c r="E10" i="21"/>
  <c r="E6" i="21"/>
  <c r="E7" i="20"/>
  <c r="E8" i="20"/>
  <c r="E9" i="20"/>
  <c r="E10" i="20"/>
  <c r="E6" i="20"/>
  <c r="E7" i="15"/>
  <c r="E8" i="15"/>
  <c r="E9" i="15"/>
  <c r="E10" i="15"/>
  <c r="E6" i="15"/>
  <c r="E7" i="25"/>
  <c r="E8" i="25"/>
  <c r="E9" i="25"/>
  <c r="E10" i="25"/>
  <c r="E6" i="25"/>
  <c r="E7" i="13"/>
  <c r="E8" i="13"/>
  <c r="E9" i="13"/>
  <c r="E10" i="13"/>
  <c r="E6" i="13"/>
  <c r="E7" i="10"/>
  <c r="E8" i="10"/>
  <c r="E9" i="10"/>
  <c r="E10" i="10"/>
  <c r="E6" i="10"/>
  <c r="E7" i="16"/>
  <c r="E8" i="16"/>
  <c r="E9" i="16"/>
  <c r="E10" i="16"/>
  <c r="E6" i="16"/>
  <c r="E7" i="14"/>
  <c r="E8" i="14"/>
  <c r="E9" i="14"/>
  <c r="E10" i="14"/>
  <c r="E6" i="14"/>
  <c r="E8" i="12"/>
  <c r="E7" i="12"/>
  <c r="E9" i="12"/>
  <c r="E10" i="12"/>
  <c r="E11" i="12"/>
  <c r="E6" i="12"/>
  <c r="E7" i="11"/>
  <c r="E8" i="11"/>
  <c r="E9" i="11"/>
  <c r="E10" i="11"/>
  <c r="E6" i="11"/>
  <c r="E7" i="17"/>
  <c r="E8" i="17"/>
  <c r="E9" i="17"/>
  <c r="E10" i="17"/>
  <c r="E6" i="17"/>
  <c r="E7" i="9"/>
  <c r="E8" i="9"/>
  <c r="E9" i="9"/>
  <c r="E10" i="9"/>
  <c r="E6" i="9"/>
  <c r="E7" i="8"/>
  <c r="E8" i="8"/>
  <c r="E9" i="8"/>
  <c r="E10" i="8"/>
  <c r="E6" i="8"/>
  <c r="E7" i="7"/>
  <c r="E8" i="7"/>
  <c r="E9" i="7"/>
  <c r="E10" i="7"/>
  <c r="E6" i="7"/>
  <c r="E7" i="6"/>
  <c r="E8" i="6"/>
  <c r="E9" i="6"/>
  <c r="E10" i="6"/>
  <c r="E6" i="6"/>
  <c r="E7" i="5"/>
  <c r="E8" i="5"/>
  <c r="E9" i="5"/>
  <c r="E10" i="5"/>
  <c r="E6" i="5"/>
  <c r="E9" i="79"/>
  <c r="E7" i="79"/>
  <c r="E8" i="79"/>
  <c r="E10" i="79"/>
  <c r="E11" i="79"/>
  <c r="E6" i="79"/>
  <c r="E7" i="3"/>
  <c r="E8" i="3"/>
  <c r="E9" i="3"/>
  <c r="E10" i="3"/>
  <c r="E6" i="3"/>
  <c r="E7" i="2"/>
  <c r="E8" i="2"/>
  <c r="E9" i="2"/>
  <c r="E10" i="2"/>
  <c r="E11" i="2"/>
  <c r="G68" i="1"/>
  <c r="G70" i="1"/>
  <c r="F71" i="1"/>
  <c r="G71" i="1"/>
  <c r="G75" i="1"/>
  <c r="F76" i="1"/>
  <c r="G76" i="1"/>
  <c r="F77" i="1"/>
  <c r="G77" i="1"/>
  <c r="F79" i="1"/>
  <c r="G79" i="1"/>
  <c r="F80" i="1"/>
  <c r="G80" i="1"/>
  <c r="F81" i="1"/>
  <c r="G81" i="1"/>
  <c r="G64" i="1"/>
  <c r="G53" i="1"/>
  <c r="G54" i="1"/>
  <c r="G43" i="1"/>
  <c r="F44" i="1"/>
  <c r="G44" i="1"/>
  <c r="G31" i="1"/>
  <c r="G33" i="1"/>
  <c r="F27" i="1"/>
  <c r="G27" i="1"/>
  <c r="G28" i="1"/>
  <c r="F14" i="1"/>
  <c r="G14" i="1"/>
  <c r="G15" i="1"/>
  <c r="F17" i="1"/>
  <c r="G18" i="1"/>
  <c r="F19" i="1"/>
  <c r="G19" i="1"/>
  <c r="F21" i="1"/>
  <c r="G21" i="1"/>
  <c r="F23" i="1"/>
  <c r="G23" i="1"/>
  <c r="F24" i="1"/>
  <c r="G24" i="1"/>
  <c r="F10" i="1"/>
  <c r="G10" i="1"/>
  <c r="G12" i="1"/>
  <c r="G7" i="1"/>
  <c r="E7" i="4"/>
  <c r="E8" i="4"/>
  <c r="E9" i="4"/>
  <c r="E10" i="4"/>
  <c r="E6" i="4"/>
  <c r="E6" i="2"/>
  <c r="G12" i="79"/>
  <c r="G6" i="1" s="1"/>
  <c r="F12" i="79"/>
  <c r="F6" i="1" s="1"/>
  <c r="E12" i="79" l="1"/>
  <c r="E6" i="1" s="1"/>
  <c r="G11" i="78"/>
  <c r="F11" i="78"/>
  <c r="E11" i="78"/>
  <c r="E92" i="1" s="1"/>
  <c r="G11" i="77"/>
  <c r="F11" i="77"/>
  <c r="F91" i="1" s="1"/>
  <c r="E11" i="77"/>
  <c r="E91" i="1" s="1"/>
  <c r="G23" i="76"/>
  <c r="G90" i="1" s="1"/>
  <c r="F23" i="76"/>
  <c r="F90" i="1" s="1"/>
  <c r="E23" i="76"/>
  <c r="E90" i="1" s="1"/>
  <c r="G24" i="75"/>
  <c r="G89" i="1" s="1"/>
  <c r="F24" i="75"/>
  <c r="F89" i="1" s="1"/>
  <c r="E24" i="75"/>
  <c r="E89" i="1" s="1"/>
  <c r="G16" i="74"/>
  <c r="G87" i="1" s="1"/>
  <c r="F16" i="74"/>
  <c r="F87" i="1" s="1"/>
  <c r="E16" i="74"/>
  <c r="E87" i="1" s="1"/>
  <c r="G18" i="73"/>
  <c r="G86" i="1" s="1"/>
  <c r="F18" i="73"/>
  <c r="F86" i="1" s="1"/>
  <c r="E18" i="73"/>
  <c r="E86" i="1" s="1"/>
  <c r="G19" i="72"/>
  <c r="G85" i="1" s="1"/>
  <c r="F19" i="72"/>
  <c r="F85" i="1" s="1"/>
  <c r="E19" i="72"/>
  <c r="E85" i="1" s="1"/>
  <c r="G11" i="71"/>
  <c r="F11" i="71"/>
  <c r="E11" i="71"/>
  <c r="E83" i="1" s="1"/>
  <c r="G19" i="70"/>
  <c r="G82" i="1" s="1"/>
  <c r="F19" i="70"/>
  <c r="G11" i="69"/>
  <c r="F11" i="69"/>
  <c r="E11" i="69"/>
  <c r="E81" i="1" s="1"/>
  <c r="G11" i="68"/>
  <c r="F11" i="68"/>
  <c r="E11" i="68"/>
  <c r="E80" i="1" s="1"/>
  <c r="G11" i="67"/>
  <c r="F11" i="67"/>
  <c r="E11" i="67"/>
  <c r="E79" i="1" s="1"/>
  <c r="G11" i="62"/>
  <c r="G78" i="1" s="1"/>
  <c r="F11" i="62"/>
  <c r="F78" i="1" s="1"/>
  <c r="E11" i="62"/>
  <c r="E78" i="1" s="1"/>
  <c r="G11" i="61"/>
  <c r="F11" i="61"/>
  <c r="E11" i="61"/>
  <c r="E77" i="1" s="1"/>
  <c r="G11" i="60"/>
  <c r="F11" i="60"/>
  <c r="E11" i="60"/>
  <c r="E76" i="1" s="1"/>
  <c r="G11" i="59"/>
  <c r="F11" i="59"/>
  <c r="F75" i="1" s="1"/>
  <c r="E11" i="59"/>
  <c r="E75" i="1" s="1"/>
  <c r="G22" i="58"/>
  <c r="G72" i="1" s="1"/>
  <c r="F22" i="58"/>
  <c r="F72" i="1" s="1"/>
  <c r="E22" i="58"/>
  <c r="E72" i="1" s="1"/>
  <c r="G11" i="57"/>
  <c r="F11" i="57"/>
  <c r="E11" i="57"/>
  <c r="E71" i="1" s="1"/>
  <c r="G11" i="56"/>
  <c r="F11" i="56"/>
  <c r="F70" i="1" s="1"/>
  <c r="E11" i="56"/>
  <c r="E70" i="1" s="1"/>
  <c r="G19" i="55"/>
  <c r="G69" i="1" s="1"/>
  <c r="F19" i="55"/>
  <c r="F69" i="1" s="1"/>
  <c r="E19" i="55"/>
  <c r="E69" i="1" s="1"/>
  <c r="G11" i="54"/>
  <c r="F11" i="54"/>
  <c r="F68" i="1" s="1"/>
  <c r="E11" i="54"/>
  <c r="E68" i="1" s="1"/>
  <c r="G17" i="53"/>
  <c r="G67" i="1" s="1"/>
  <c r="F17" i="53"/>
  <c r="F67" i="1" s="1"/>
  <c r="E17" i="53"/>
  <c r="E67" i="1" s="1"/>
  <c r="G13" i="52"/>
  <c r="G66" i="1" s="1"/>
  <c r="F13" i="52"/>
  <c r="F66" i="1" s="1"/>
  <c r="E13" i="52"/>
  <c r="E66" i="1" s="1"/>
  <c r="G11" i="51"/>
  <c r="F11" i="51"/>
  <c r="F64" i="1" s="1"/>
  <c r="E11" i="51"/>
  <c r="E64" i="1" s="1"/>
  <c r="G15" i="50"/>
  <c r="G63" i="1" s="1"/>
  <c r="F15" i="50"/>
  <c r="F63" i="1" s="1"/>
  <c r="E15" i="50"/>
  <c r="E63" i="1" s="1"/>
  <c r="G14" i="49"/>
  <c r="G62" i="1" s="1"/>
  <c r="F14" i="49"/>
  <c r="F62" i="1" s="1"/>
  <c r="E14" i="49"/>
  <c r="E62" i="1" s="1"/>
  <c r="G28" i="48"/>
  <c r="G61" i="1" s="1"/>
  <c r="F28" i="48"/>
  <c r="F61" i="1" s="1"/>
  <c r="E28" i="48"/>
  <c r="E61" i="1" s="1"/>
  <c r="G22" i="47"/>
  <c r="G60" i="1" s="1"/>
  <c r="F22" i="47"/>
  <c r="F60" i="1" s="1"/>
  <c r="E22" i="47"/>
  <c r="E60" i="1" s="1"/>
  <c r="G20" i="46"/>
  <c r="G58" i="1" s="1"/>
  <c r="F20" i="46"/>
  <c r="F58" i="1" s="1"/>
  <c r="E20" i="46"/>
  <c r="E58" i="1" s="1"/>
  <c r="G15" i="45"/>
  <c r="G57" i="1" s="1"/>
  <c r="F15" i="45"/>
  <c r="F57" i="1" s="1"/>
  <c r="E15" i="45"/>
  <c r="E57" i="1" s="1"/>
  <c r="G14" i="44"/>
  <c r="G55" i="1" s="1"/>
  <c r="F14" i="44"/>
  <c r="F55" i="1" s="1"/>
  <c r="E14" i="44"/>
  <c r="E55" i="1" s="1"/>
  <c r="G11" i="43"/>
  <c r="F11" i="43"/>
  <c r="F54" i="1" s="1"/>
  <c r="E11" i="43"/>
  <c r="E54" i="1" s="1"/>
  <c r="G11" i="42"/>
  <c r="F11" i="42"/>
  <c r="F53" i="1" s="1"/>
  <c r="E11" i="42"/>
  <c r="E53" i="1" s="1"/>
  <c r="G18" i="41"/>
  <c r="G50" i="1" s="1"/>
  <c r="F18" i="41"/>
  <c r="F50" i="1" s="1"/>
  <c r="E18" i="41"/>
  <c r="E50" i="1" s="1"/>
  <c r="G17" i="40"/>
  <c r="G49" i="1" s="1"/>
  <c r="F17" i="40"/>
  <c r="F49" i="1" s="1"/>
  <c r="E17" i="40"/>
  <c r="E49" i="1" s="1"/>
  <c r="G21" i="39"/>
  <c r="G47" i="1" s="1"/>
  <c r="F21" i="39"/>
  <c r="F47" i="1" s="1"/>
  <c r="E21" i="39"/>
  <c r="E47" i="1" s="1"/>
  <c r="G24" i="38"/>
  <c r="G46" i="1" s="1"/>
  <c r="F24" i="38"/>
  <c r="F46" i="1" s="1"/>
  <c r="E24" i="38"/>
  <c r="E46" i="1" s="1"/>
  <c r="G11" i="37"/>
  <c r="F11" i="37"/>
  <c r="E11" i="37"/>
  <c r="E44" i="1" s="1"/>
  <c r="G11" i="36"/>
  <c r="F11" i="36"/>
  <c r="F43" i="1" s="1"/>
  <c r="E11" i="36"/>
  <c r="E43" i="1" s="1"/>
  <c r="G17" i="35"/>
  <c r="G42" i="1" s="1"/>
  <c r="F17" i="35"/>
  <c r="F42" i="1" s="1"/>
  <c r="E17" i="35"/>
  <c r="E42" i="1" s="1"/>
  <c r="G11" i="34"/>
  <c r="G41" i="1" s="1"/>
  <c r="F11" i="34"/>
  <c r="F41" i="1" s="1"/>
  <c r="E11" i="34"/>
  <c r="E41" i="1" s="1"/>
  <c r="G18" i="33"/>
  <c r="G40" i="1" s="1"/>
  <c r="F18" i="33"/>
  <c r="F40" i="1" s="1"/>
  <c r="E18" i="33"/>
  <c r="E40" i="1" s="1"/>
  <c r="G11" i="32"/>
  <c r="G39" i="1" s="1"/>
  <c r="F11" i="32"/>
  <c r="F39" i="1" s="1"/>
  <c r="E11" i="32"/>
  <c r="E39" i="1" s="1"/>
  <c r="G21" i="31"/>
  <c r="G38" i="1" s="1"/>
  <c r="F21" i="31"/>
  <c r="F38" i="1" s="1"/>
  <c r="E21" i="31"/>
  <c r="E38" i="1" s="1"/>
  <c r="G21" i="30"/>
  <c r="G37" i="1" s="1"/>
  <c r="F21" i="30"/>
  <c r="F37" i="1" s="1"/>
  <c r="E21" i="30"/>
  <c r="E37" i="1" s="1"/>
  <c r="G20" i="29"/>
  <c r="G36" i="1" s="1"/>
  <c r="F20" i="29"/>
  <c r="F36" i="1" s="1"/>
  <c r="E20" i="29"/>
  <c r="E36" i="1" s="1"/>
  <c r="G17" i="28"/>
  <c r="G35" i="1" s="1"/>
  <c r="F17" i="28"/>
  <c r="F35" i="1" s="1"/>
  <c r="E17" i="28"/>
  <c r="E35" i="1" s="1"/>
  <c r="G11" i="27"/>
  <c r="F11" i="27"/>
  <c r="F33" i="1" s="1"/>
  <c r="E11" i="27"/>
  <c r="E33" i="1" s="1"/>
  <c r="G11" i="26"/>
  <c r="G32" i="1" s="1"/>
  <c r="F11" i="26"/>
  <c r="F32" i="1" s="1"/>
  <c r="E11" i="26"/>
  <c r="E32" i="1" s="1"/>
  <c r="G11" i="25"/>
  <c r="F11" i="25"/>
  <c r="E11" i="25"/>
  <c r="E27" i="1" s="1"/>
  <c r="G11" i="24"/>
  <c r="F11" i="24"/>
  <c r="F31" i="1" s="1"/>
  <c r="E11" i="24"/>
  <c r="E31" i="1" s="1"/>
  <c r="G16" i="23"/>
  <c r="G29" i="1" s="1"/>
  <c r="F16" i="23"/>
  <c r="F29" i="1" s="1"/>
  <c r="E16" i="23"/>
  <c r="E29" i="1" s="1"/>
  <c r="G11" i="22"/>
  <c r="F11" i="22"/>
  <c r="F28" i="1" s="1"/>
  <c r="E11" i="22"/>
  <c r="E28" i="1" s="1"/>
  <c r="G11" i="21"/>
  <c r="G25" i="1" s="1"/>
  <c r="F11" i="21"/>
  <c r="F25" i="1" s="1"/>
  <c r="E11" i="21"/>
  <c r="E25" i="1" s="1"/>
  <c r="G11" i="20"/>
  <c r="F11" i="20"/>
  <c r="E11" i="20"/>
  <c r="E24" i="1" s="1"/>
  <c r="G11" i="19"/>
  <c r="F11" i="19"/>
  <c r="E11" i="19"/>
  <c r="E23" i="1" s="1"/>
  <c r="G11" i="18"/>
  <c r="G22" i="1" s="1"/>
  <c r="F11" i="18"/>
  <c r="F22" i="1" s="1"/>
  <c r="E11" i="18"/>
  <c r="E22" i="1" s="1"/>
  <c r="G11" i="17"/>
  <c r="F11" i="17"/>
  <c r="E11" i="17"/>
  <c r="E21" i="1" s="1"/>
  <c r="G11" i="16"/>
  <c r="G20" i="1" s="1"/>
  <c r="F11" i="16"/>
  <c r="F20" i="1" s="1"/>
  <c r="E11" i="16"/>
  <c r="E20" i="1" s="1"/>
  <c r="G11" i="15"/>
  <c r="F11" i="15"/>
  <c r="E11" i="15"/>
  <c r="E19" i="1" s="1"/>
  <c r="G11" i="14"/>
  <c r="F11" i="14"/>
  <c r="F18" i="1" s="1"/>
  <c r="E11" i="14"/>
  <c r="E18" i="1" s="1"/>
  <c r="G11" i="13"/>
  <c r="G17" i="1" s="1"/>
  <c r="F11" i="13"/>
  <c r="E11" i="13"/>
  <c r="E17" i="1" s="1"/>
  <c r="G12" i="12"/>
  <c r="G16" i="1" s="1"/>
  <c r="F12" i="12"/>
  <c r="F16" i="1" s="1"/>
  <c r="E12" i="12"/>
  <c r="E16" i="1" s="1"/>
  <c r="G11" i="11"/>
  <c r="F11" i="11"/>
  <c r="F15" i="1" s="1"/>
  <c r="E11" i="11"/>
  <c r="E15" i="1" s="1"/>
  <c r="G11" i="10"/>
  <c r="F11" i="10"/>
  <c r="E11" i="10"/>
  <c r="E14" i="1" s="1"/>
  <c r="G11" i="9"/>
  <c r="F11" i="9"/>
  <c r="F12" i="1" s="1"/>
  <c r="E11" i="9"/>
  <c r="E12" i="1" s="1"/>
  <c r="G11" i="8"/>
  <c r="G11" i="1" s="1"/>
  <c r="F11" i="8"/>
  <c r="F11" i="1" s="1"/>
  <c r="E11" i="8"/>
  <c r="E11" i="1" s="1"/>
  <c r="G11" i="7"/>
  <c r="F11" i="7"/>
  <c r="E11" i="7"/>
  <c r="E10" i="1" s="1"/>
  <c r="G11" i="6"/>
  <c r="G9" i="1" s="1"/>
  <c r="F11" i="6"/>
  <c r="F9" i="1" s="1"/>
  <c r="E11" i="6"/>
  <c r="E9" i="1" s="1"/>
  <c r="G11" i="5"/>
  <c r="G8" i="1" s="1"/>
  <c r="F11" i="5"/>
  <c r="F8" i="1" s="1"/>
  <c r="E11" i="5"/>
  <c r="E8" i="1" s="1"/>
  <c r="G11" i="4"/>
  <c r="F11" i="4"/>
  <c r="G11" i="3"/>
  <c r="G5" i="1" s="1"/>
  <c r="F11" i="3"/>
  <c r="G11" i="2"/>
  <c r="G4" i="1" s="1"/>
  <c r="F11" i="2"/>
  <c r="F4" i="1" s="1"/>
  <c r="E4" i="1"/>
  <c r="F5" i="1" l="1"/>
  <c r="E11" i="3"/>
  <c r="E5" i="1" s="1"/>
  <c r="G93" i="1"/>
  <c r="F82" i="1"/>
  <c r="E19" i="70"/>
  <c r="E82" i="1" s="1"/>
  <c r="E11" i="4"/>
  <c r="E7" i="1" s="1"/>
  <c r="F7" i="1"/>
  <c r="F93" i="1" l="1"/>
  <c r="E93" i="1"/>
</calcChain>
</file>

<file path=xl/sharedStrings.xml><?xml version="1.0" encoding="utf-8"?>
<sst xmlns="http://schemas.openxmlformats.org/spreadsheetml/2006/main" count="1632" uniqueCount="605">
  <si>
    <t>Е 789 ТУ 799</t>
  </si>
  <si>
    <t>Х96А22R32G2656379</t>
  </si>
  <si>
    <t>ГАЗ А22R32  (грузовой бортовой)</t>
  </si>
  <si>
    <t>Дата документа</t>
  </si>
  <si>
    <t>номер документа</t>
  </si>
  <si>
    <t>поставщик</t>
  </si>
  <si>
    <t>вид работ</t>
  </si>
  <si>
    <t>стоимость общая</t>
  </si>
  <si>
    <t>стоимость работ</t>
  </si>
  <si>
    <t>стоимость запасных частей</t>
  </si>
  <si>
    <t>Итого</t>
  </si>
  <si>
    <t>Н 481 ОУ 797</t>
  </si>
  <si>
    <t>XTA212140R2478441</t>
  </si>
  <si>
    <t xml:space="preserve">LADA  4X4 </t>
  </si>
  <si>
    <t xml:space="preserve">О 522 МЕ 797 </t>
  </si>
  <si>
    <t>XW8AN6NX5MH064819</t>
  </si>
  <si>
    <t xml:space="preserve">SKODA Octavia </t>
  </si>
  <si>
    <t>O 002 HE 197</t>
  </si>
  <si>
    <t xml:space="preserve"> JTMCV02J504298364</t>
  </si>
  <si>
    <t xml:space="preserve"> TOYOTA LAND CRUISER 200  </t>
  </si>
  <si>
    <t xml:space="preserve">Х 316 ОЕ 797 </t>
  </si>
  <si>
    <t>LB37852D3PS129584</t>
  </si>
  <si>
    <t xml:space="preserve">GEELY MONJARO </t>
  </si>
  <si>
    <t xml:space="preserve"> К 384 ОА 797</t>
  </si>
  <si>
    <t>LGWFF6А53PH938163</t>
  </si>
  <si>
    <t xml:space="preserve">HAVAL DARGO </t>
  </si>
  <si>
    <t>Н 078 АМ 977</t>
  </si>
  <si>
    <t>SALGA3JF9GA251001</t>
  </si>
  <si>
    <t>Land Rover RANGE ROVER</t>
  </si>
  <si>
    <t>А 026 ХС 799</t>
  </si>
  <si>
    <t>WV1ZZZ2KZEX098108</t>
  </si>
  <si>
    <t>Volkswagen CADDY</t>
  </si>
  <si>
    <t>Е 881 ТО 790</t>
  </si>
  <si>
    <t>XWEPC811DC0010139</t>
  </si>
  <si>
    <t>Kia Sportage</t>
  </si>
  <si>
    <t xml:space="preserve">Т 171 СС 750 </t>
  </si>
  <si>
    <t>X96A22R32E2582297</t>
  </si>
  <si>
    <t>ГАЗ-А22R32 Платформа с каркасом и тентом</t>
  </si>
  <si>
    <t xml:space="preserve">В 456 АО 797 </t>
  </si>
  <si>
    <t>Х96A22R32E2580173</t>
  </si>
  <si>
    <t>ГАЗ-A22R32 (грузовой с ботром)</t>
  </si>
  <si>
    <t xml:space="preserve">Н 900 В0 977 </t>
  </si>
  <si>
    <t>X96A32R32M0915045</t>
  </si>
  <si>
    <t>Газель GAZelle NEXT</t>
  </si>
  <si>
    <t>Т 189 УВ 777</t>
  </si>
  <si>
    <t>Х96270500В0697236</t>
  </si>
  <si>
    <t>ГАЗ 2705 (грузовой цельнометалический 6 п/мест)</t>
  </si>
  <si>
    <t>С 982 ОА 797</t>
  </si>
  <si>
    <t>Х96270500С1744419</t>
  </si>
  <si>
    <t>ГАЗ 2705 грузовой фургон</t>
  </si>
  <si>
    <t>O 503 PT 777</t>
  </si>
  <si>
    <t>X96A22R32G2652087</t>
  </si>
  <si>
    <t>ГАЗ-А22R32  (грузовой бортовой)</t>
  </si>
  <si>
    <t>О 035 КН 799</t>
  </si>
  <si>
    <t>X8B278865J0018642</t>
  </si>
  <si>
    <t>278865 (бортовая платформа)</t>
  </si>
  <si>
    <t xml:space="preserve">У 479 MC 797 </t>
  </si>
  <si>
    <t>X2FXXXESGXKP43412</t>
  </si>
  <si>
    <t>Ford Transit (техпомощь)</t>
  </si>
  <si>
    <t xml:space="preserve">У 978 ММ 797 </t>
  </si>
  <si>
    <t xml:space="preserve"> XUS22278CG0002627</t>
  </si>
  <si>
    <t>Ford Transit 22278С (авт-ль грузопассажирский)</t>
  </si>
  <si>
    <t xml:space="preserve">Е 335 ВК 977 </t>
  </si>
  <si>
    <t>XUS3227ARK0002907</t>
  </si>
  <si>
    <t>Ford Transit 3227AR двойная кабина (БОРТОВАЯ ПЛАТФОРМА)</t>
  </si>
  <si>
    <t>Е 344 ВК 977</t>
  </si>
  <si>
    <t>XUS3227ARK0003018</t>
  </si>
  <si>
    <t xml:space="preserve">Ford Transit 3227AR двойная кабина  </t>
  </si>
  <si>
    <t xml:space="preserve">Н 680 В0 977 </t>
  </si>
  <si>
    <t>X2FXXXESGXKM42540</t>
  </si>
  <si>
    <t xml:space="preserve">Ford Transit </t>
  </si>
  <si>
    <t xml:space="preserve">Х 908 УК 799 </t>
  </si>
  <si>
    <t>X96A65R52N0932985</t>
  </si>
  <si>
    <t xml:space="preserve">Газель GAZellIe NN </t>
  </si>
  <si>
    <t>FORD Transit (Автобус)</t>
  </si>
  <si>
    <t>Н 152 ЕТ 977</t>
  </si>
  <si>
    <t>X89TU1T13R1GP3006</t>
  </si>
  <si>
    <t xml:space="preserve">Специальный, грузовой бортовой оснащенный краном-манипулятором TH-T13 FOTON 3006A7Н </t>
  </si>
  <si>
    <t>Z6FXXXESGXJJ06015</t>
  </si>
  <si>
    <t>М 711 ХУ 799</t>
  </si>
  <si>
    <t xml:space="preserve">Специальная Комбинированная дорожная машина КО-806-01 </t>
  </si>
  <si>
    <t>X5H806015M0000355</t>
  </si>
  <si>
    <t xml:space="preserve">Н 421 УА 799 </t>
  </si>
  <si>
    <t>X89503670M0FZ1033</t>
  </si>
  <si>
    <t xml:space="preserve">Специальный Автогудронатор РЕГИОН 45 АС-С41R </t>
  </si>
  <si>
    <t>К 877 ТУ 799</t>
  </si>
  <si>
    <t>XTC652005L1424014</t>
  </si>
  <si>
    <t xml:space="preserve">Автосамосвал КАМАЗ К3340 6520-53  </t>
  </si>
  <si>
    <t>К 927 ТУ 799</t>
  </si>
  <si>
    <t>XTC652005L1418059</t>
  </si>
  <si>
    <t xml:space="preserve"> К 983 ТУ 799</t>
  </si>
  <si>
    <t>XTC652005L1424011</t>
  </si>
  <si>
    <t xml:space="preserve">Автосамосвал КАМАЗ К3340 6520-53 </t>
  </si>
  <si>
    <t xml:space="preserve"> К 994 ТУ 799</t>
  </si>
  <si>
    <t>XTC652005L1423865</t>
  </si>
  <si>
    <t>Н 487 АА 977</t>
  </si>
  <si>
    <t>XTC652005К1409565(6)</t>
  </si>
  <si>
    <t>Автосамосвал КАМАЗ К3340 6520-53</t>
  </si>
  <si>
    <t>Х 152 НО 799</t>
  </si>
  <si>
    <t xml:space="preserve"> LZGJRDR47HX063924</t>
  </si>
  <si>
    <t>Самосвал SHACMAN SX3256DR384</t>
  </si>
  <si>
    <t xml:space="preserve">Самосвал SHACMAN SX3256DR384   </t>
  </si>
  <si>
    <t>Х 287 НО 799</t>
  </si>
  <si>
    <t xml:space="preserve"> LZGJRDR45HX063923</t>
  </si>
  <si>
    <t>Х 265 НО 799</t>
  </si>
  <si>
    <t>LZGJRDR42HX063927</t>
  </si>
  <si>
    <t>О 989 РЕ 799</t>
  </si>
  <si>
    <t xml:space="preserve"> LZGJLDR41CX062486</t>
  </si>
  <si>
    <t>Самосвал SHACMAN SX3255DR384</t>
  </si>
  <si>
    <t xml:space="preserve">H 478 BO 977 </t>
  </si>
  <si>
    <t>LZZ7CCWDXPC609266</t>
  </si>
  <si>
    <t xml:space="preserve">Sitrak C7H ZZ4186V361HE </t>
  </si>
  <si>
    <t>М 949 ХУ 799</t>
  </si>
  <si>
    <t xml:space="preserve"> 9BSP6X40003888559</t>
  </si>
  <si>
    <t xml:space="preserve">SCANIA Р400 СА6Х4НSZ Грузовой тягач седельный </t>
  </si>
  <si>
    <t>ЕО 7112 77</t>
  </si>
  <si>
    <t>Х89994273М0ВА2539</t>
  </si>
  <si>
    <t>Specpricep 9942L3 специализированный полуприцеп тяжеловоз</t>
  </si>
  <si>
    <t>ХХ 0555 77</t>
  </si>
  <si>
    <t>NP9ST4FLFP0225021</t>
  </si>
  <si>
    <t xml:space="preserve">ПРИЦЕП Sinanli Tanker ST4FLF </t>
  </si>
  <si>
    <t>77 МН 8102</t>
  </si>
  <si>
    <t>567006LDPNB279771</t>
  </si>
  <si>
    <t>Погрузчик фронтальный  ENSIGN  YX635</t>
  </si>
  <si>
    <t>77 МН 8101</t>
  </si>
  <si>
    <t>567006LDVNB279761</t>
  </si>
  <si>
    <t>77 MM 7009</t>
  </si>
  <si>
    <t xml:space="preserve">Фронтальный погручик XCMG ZL3OGV XCMG </t>
  </si>
  <si>
    <t>XUG0300KVNCB20676</t>
  </si>
  <si>
    <t xml:space="preserve">77 РЕ 4294 </t>
  </si>
  <si>
    <t>JAFSR220PJM450990</t>
  </si>
  <si>
    <t xml:space="preserve">Погрузчик фронтальный CASE SR220 </t>
  </si>
  <si>
    <t xml:space="preserve">77 ММ 7010 </t>
  </si>
  <si>
    <t>JAFSR200LNM413973</t>
  </si>
  <si>
    <t xml:space="preserve">Колесный мини-погрузчик CASE SR200B </t>
  </si>
  <si>
    <t>77 РЕ 4293</t>
  </si>
  <si>
    <t>FNH0580TNJHH01925</t>
  </si>
  <si>
    <t xml:space="preserve">Экскаватор погрузчик Case 580Т  </t>
  </si>
  <si>
    <t xml:space="preserve">Экскаватор погрузчик Case 570SТ  </t>
  </si>
  <si>
    <t>77 ММ 7056</t>
  </si>
  <si>
    <t>CAT00428CL7D00383</t>
  </si>
  <si>
    <t xml:space="preserve">Экскаватор-погрузчик Caterpillar 428 </t>
  </si>
  <si>
    <t>77 РВ 6800</t>
  </si>
  <si>
    <t>САТ0432FVLYJ00794</t>
  </si>
  <si>
    <t>Экскаватор-погрузчик Caterpillar 432F2</t>
  </si>
  <si>
    <t>77 РМ 6819</t>
  </si>
  <si>
    <t>404(Y4R900Z01L1102335)</t>
  </si>
  <si>
    <t xml:space="preserve">МУП-351.ТСТ машина для коммунального хозяйства   </t>
  </si>
  <si>
    <t>77 РМ 6996</t>
  </si>
  <si>
    <t>SY0058CC38558/OF5110063N4L70066CK</t>
  </si>
  <si>
    <t xml:space="preserve">Гусеничный экскаватор SANY,SY55C  </t>
  </si>
  <si>
    <t>77 МН 8147</t>
  </si>
  <si>
    <t>SY0079CC30958/0F5110070N4</t>
  </si>
  <si>
    <t xml:space="preserve">Гусеничный экскаватор SANYSY75C  </t>
  </si>
  <si>
    <t>77 МН 9524</t>
  </si>
  <si>
    <t>SY0151СС28158/SANWS6706NK004367</t>
  </si>
  <si>
    <t xml:space="preserve">Колесный экскаватор SANY,SY155W (158) </t>
  </si>
  <si>
    <t xml:space="preserve">77 МН 9525 </t>
  </si>
  <si>
    <t>SY0151CC25368/SANW6706NK004361</t>
  </si>
  <si>
    <r>
      <t>Колесный экскаватор SANY,SY</t>
    </r>
    <r>
      <rPr>
        <sz val="9"/>
        <color rgb="FFFF0000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55W(368) </t>
    </r>
  </si>
  <si>
    <t xml:space="preserve">77 РМ 6820 </t>
  </si>
  <si>
    <t>SY0151CC16818/SANWS6706NK004059</t>
  </si>
  <si>
    <t xml:space="preserve">Экскаватор SANY,SY155W </t>
  </si>
  <si>
    <t>77 ММ 7013</t>
  </si>
  <si>
    <t>SY0151CC25018/SANWS6701NK004339</t>
  </si>
  <si>
    <t xml:space="preserve">Самоходная машина SANY SY155W  </t>
  </si>
  <si>
    <t>CAT0318CJDAH00858</t>
  </si>
  <si>
    <t xml:space="preserve">Экскаватор Caterpiliar Inc.318CL </t>
  </si>
  <si>
    <t>77 РК 7946</t>
  </si>
  <si>
    <t>77 ММ 7012</t>
  </si>
  <si>
    <t>LGJ6614ETNR 059175</t>
  </si>
  <si>
    <t xml:space="preserve">Каток вибрационный LIUGONG CLG6614E  </t>
  </si>
  <si>
    <t>77 ММ 7057</t>
  </si>
  <si>
    <t>ACZ16234EN3046027</t>
  </si>
  <si>
    <t>Каток дорожный AMMANN ARX45-2</t>
  </si>
  <si>
    <t>77 ММ 7011</t>
  </si>
  <si>
    <t>АСZ16234PN3046467</t>
  </si>
  <si>
    <t>77 МО 4698</t>
  </si>
  <si>
    <t>H1812561</t>
  </si>
  <si>
    <t xml:space="preserve">Каток дорожный HD110 HAMM AG </t>
  </si>
  <si>
    <t>77 МН 9579</t>
  </si>
  <si>
    <t>DM3425</t>
  </si>
  <si>
    <t xml:space="preserve">Каток дорожный самоходный ZDM DM-10-VD </t>
  </si>
  <si>
    <t>77 МН 9580</t>
  </si>
  <si>
    <t>DM3419</t>
  </si>
  <si>
    <t xml:space="preserve">Каток дорожный самоходный ZDM ZDM-10-VC  </t>
  </si>
  <si>
    <t xml:space="preserve">77 РА 4897 </t>
  </si>
  <si>
    <t xml:space="preserve">каток дорожный самоходный вибрационный AMMANN, ARX 26 К  </t>
  </si>
  <si>
    <t>77 МН 4897</t>
  </si>
  <si>
    <t>H1531477</t>
  </si>
  <si>
    <t xml:space="preserve">СМ КАТОК HAMM HD 090V  </t>
  </si>
  <si>
    <t>77 МН 4901</t>
  </si>
  <si>
    <t>101920091188</t>
  </si>
  <si>
    <t xml:space="preserve">СМ КАТОК Дорожный BW 161 AD-4  </t>
  </si>
  <si>
    <t>77 РВ 6821</t>
  </si>
  <si>
    <t>07191650</t>
  </si>
  <si>
    <t xml:space="preserve">Асфальтоукладчик VOGEL SUPER 1900-2  6 метр </t>
  </si>
  <si>
    <t>77 РЕ 5812</t>
  </si>
  <si>
    <t>07191989</t>
  </si>
  <si>
    <t xml:space="preserve">Асфальтоукладчик VOGEL SUPER 1900-2/1  5 метр </t>
  </si>
  <si>
    <t>77 МН 7351</t>
  </si>
  <si>
    <t>08110159</t>
  </si>
  <si>
    <t>Асфальтоукладчик VOGEL SUPER 1300 2</t>
  </si>
  <si>
    <t>77 РЕ 4341</t>
  </si>
  <si>
    <t>13200264</t>
  </si>
  <si>
    <t xml:space="preserve">Фреза дорожная WIRTGEN W210  </t>
  </si>
  <si>
    <t>77 РВ 6822</t>
  </si>
  <si>
    <t>122000115</t>
  </si>
  <si>
    <t xml:space="preserve">Холодная дорожная Фреза WIRTGEN W200  </t>
  </si>
  <si>
    <t>77 РВ 8497</t>
  </si>
  <si>
    <t>CATPM620PLH900176</t>
  </si>
  <si>
    <t>Caterpillar PM620</t>
  </si>
  <si>
    <t>77 РВ 6778</t>
  </si>
  <si>
    <t>CATPM620PLH900226</t>
  </si>
  <si>
    <t>Легковые автомобили</t>
  </si>
  <si>
    <t>А 497 АС 799</t>
  </si>
  <si>
    <t>XW7BF4FK10S157489</t>
  </si>
  <si>
    <t xml:space="preserve"> TOYOTA Camry  </t>
  </si>
  <si>
    <t>Малотоннажные автомобили</t>
  </si>
  <si>
    <t>Автобусы</t>
  </si>
  <si>
    <t xml:space="preserve">Прицеп 71491-0000010-01 </t>
  </si>
  <si>
    <t>Экскаваторы</t>
  </si>
  <si>
    <t>Катки</t>
  </si>
  <si>
    <t>Асфальтоукладчики</t>
  </si>
  <si>
    <t>Фрезы</t>
  </si>
  <si>
    <t>Специальные автомобили</t>
  </si>
  <si>
    <t>Грузовые-самосвалы</t>
  </si>
  <si>
    <t>Магистральные тягачи</t>
  </si>
  <si>
    <t>Погрузчики</t>
  </si>
  <si>
    <t>Мини погрузчики</t>
  </si>
  <si>
    <t>Зкскаваторы погрузчики</t>
  </si>
  <si>
    <t>Содержание!A1</t>
  </si>
  <si>
    <t xml:space="preserve">Колесный экскаватор SANY,SY155W(368) </t>
  </si>
  <si>
    <t>Содержание</t>
  </si>
  <si>
    <t>ВСЕГО</t>
  </si>
  <si>
    <t>ООО Финк</t>
  </si>
  <si>
    <t>запчасти</t>
  </si>
  <si>
    <t>ООО РусАгроСтрой</t>
  </si>
  <si>
    <t>УТ-1105</t>
  </si>
  <si>
    <t>ООО ЭКСТАМ</t>
  </si>
  <si>
    <t>Ремонт двигателя с З\Ч</t>
  </si>
  <si>
    <t>ИП Востриков</t>
  </si>
  <si>
    <t>резцедержатели</t>
  </si>
  <si>
    <t>ООО СПК-Импорт</t>
  </si>
  <si>
    <t>0115</t>
  </si>
  <si>
    <t>ООО АТМ групп</t>
  </si>
  <si>
    <t>ремонт двигателя с з\ч</t>
  </si>
  <si>
    <t>DHAU1898109</t>
  </si>
  <si>
    <t>ООО Другой сервис</t>
  </si>
  <si>
    <t>ТО и ремонт</t>
  </si>
  <si>
    <t>ООО Актио Рус</t>
  </si>
  <si>
    <t>кап ремонт двигателя</t>
  </si>
  <si>
    <t>ИП Лысенко</t>
  </si>
  <si>
    <t>Ремонт печки салона</t>
  </si>
  <si>
    <t>М-104</t>
  </si>
  <si>
    <t>ООО Мирапартс</t>
  </si>
  <si>
    <t>ААМС-0005578</t>
  </si>
  <si>
    <t>ООО АСТ</t>
  </si>
  <si>
    <t>ООО ММС</t>
  </si>
  <si>
    <t>ООО МСБ Групп</t>
  </si>
  <si>
    <t>Замена стекол</t>
  </si>
  <si>
    <t>ООО Тракмастер 42</t>
  </si>
  <si>
    <t>ремонт топливной системы</t>
  </si>
  <si>
    <t>Прошивка ЭБУ</t>
  </si>
  <si>
    <t>ААМС-0000903</t>
  </si>
  <si>
    <t>ООО ГТ Групп</t>
  </si>
  <si>
    <t>М-232</t>
  </si>
  <si>
    <t>ООО ФриВэй</t>
  </si>
  <si>
    <t>DHAU1903830</t>
  </si>
  <si>
    <t>Другой сервис</t>
  </si>
  <si>
    <t>ТО</t>
  </si>
  <si>
    <t>DHAU1896365</t>
  </si>
  <si>
    <t>Другой Сервис</t>
  </si>
  <si>
    <t>Полуприцепы</t>
  </si>
  <si>
    <t xml:space="preserve">запчасти </t>
  </si>
  <si>
    <t>ПК196</t>
  </si>
  <si>
    <t>ООО ПК-СТ</t>
  </si>
  <si>
    <t>Вилы палетные</t>
  </si>
  <si>
    <t>15С</t>
  </si>
  <si>
    <t>ИП Устинов</t>
  </si>
  <si>
    <t>моторчи печки</t>
  </si>
  <si>
    <t>16С</t>
  </si>
  <si>
    <t>торм-е накладки</t>
  </si>
  <si>
    <t>УТ-181</t>
  </si>
  <si>
    <t>ООО Экстам</t>
  </si>
  <si>
    <t>Муфта</t>
  </si>
  <si>
    <t>ООО Мех.завод Конструктив</t>
  </si>
  <si>
    <t>восстановление рукояти</t>
  </si>
  <si>
    <t>DHAU1904145</t>
  </si>
  <si>
    <t>ремонт АКПП</t>
  </si>
  <si>
    <t>ООО Актио РУС</t>
  </si>
  <si>
    <t>салазки для рукояти</t>
  </si>
  <si>
    <t>Ремонт ТНВД и форсунок</t>
  </si>
  <si>
    <t>АПР</t>
  </si>
  <si>
    <t>запчасти торм система</t>
  </si>
  <si>
    <t>17С</t>
  </si>
  <si>
    <t>трос ручника</t>
  </si>
  <si>
    <t>ФР-ГЦ-1-0000277</t>
  </si>
  <si>
    <t>ООО Гидравлик Групп</t>
  </si>
  <si>
    <t>ремонт гидроцилиндра</t>
  </si>
  <si>
    <t>ААМС-001833</t>
  </si>
  <si>
    <t>зубья для ковша</t>
  </si>
  <si>
    <t>040325-6110</t>
  </si>
  <si>
    <t>ФА Логистик</t>
  </si>
  <si>
    <t>АКБ</t>
  </si>
  <si>
    <t>Гидромотор 3825364</t>
  </si>
  <si>
    <t>фильтр топливный</t>
  </si>
  <si>
    <t>палец челюсти</t>
  </si>
  <si>
    <t>Ф.А. Авто</t>
  </si>
  <si>
    <t>100325-6062</t>
  </si>
  <si>
    <t>ФР-ММ-0005213</t>
  </si>
  <si>
    <t>Гидравлик Групп</t>
  </si>
  <si>
    <t>ремонт гидр. рукава</t>
  </si>
  <si>
    <t>датчик уровня топлива</t>
  </si>
  <si>
    <t>АТМ Групп</t>
  </si>
  <si>
    <t>Кап ремонт двигателя</t>
  </si>
  <si>
    <t>диагностика дв 8,3</t>
  </si>
  <si>
    <t>монтаж двигателя</t>
  </si>
  <si>
    <t>ручка двери с замком</t>
  </si>
  <si>
    <t>ООО А.П.Р.</t>
  </si>
  <si>
    <t>аккумуляторы</t>
  </si>
  <si>
    <t>генератор</t>
  </si>
  <si>
    <t>ООО Арт Макс</t>
  </si>
  <si>
    <t>шпиндель</t>
  </si>
  <si>
    <t>Тракмастер 42</t>
  </si>
  <si>
    <t>РЕМГУД</t>
  </si>
  <si>
    <t>ремонт коробки</t>
  </si>
  <si>
    <t>регулировка клапанов</t>
  </si>
  <si>
    <t>грузовой доктор</t>
  </si>
  <si>
    <t>покраска</t>
  </si>
  <si>
    <t>50 XP 0605</t>
  </si>
  <si>
    <t xml:space="preserve">Самосвал Камаз 6520 </t>
  </si>
  <si>
    <t>блок фара</t>
  </si>
  <si>
    <t>74/2</t>
  </si>
  <si>
    <t>стартер</t>
  </si>
  <si>
    <t>Т-Запчасть</t>
  </si>
  <si>
    <t>ИП Асаян А.Р.</t>
  </si>
  <si>
    <t>ремонт радиатора</t>
  </si>
  <si>
    <t>349\4</t>
  </si>
  <si>
    <t>т-запчасть</t>
  </si>
  <si>
    <t>корпус воздушного фильтра</t>
  </si>
  <si>
    <t>УТ-3301</t>
  </si>
  <si>
    <t>Фривей</t>
  </si>
  <si>
    <t>дверь правая и з\ч</t>
  </si>
  <si>
    <t>дверь левая</t>
  </si>
  <si>
    <t>спецтрейд</t>
  </si>
  <si>
    <t>шины передние</t>
  </si>
  <si>
    <t>552\4</t>
  </si>
  <si>
    <t>Т-запчасть</t>
  </si>
  <si>
    <t>диск тормозной, колодки</t>
  </si>
  <si>
    <t>ИП Ашуров</t>
  </si>
  <si>
    <t>КПП</t>
  </si>
  <si>
    <t>DHAU2029374</t>
  </si>
  <si>
    <t>УТ-152</t>
  </si>
  <si>
    <t>МТМ Логистик</t>
  </si>
  <si>
    <t>расходники для ТО</t>
  </si>
  <si>
    <t>ТракМастер 42</t>
  </si>
  <si>
    <t>ремонт форсунок</t>
  </si>
  <si>
    <t>СД МСК</t>
  </si>
  <si>
    <t>2025 год-2026 год</t>
  </si>
  <si>
    <t>шины задние</t>
  </si>
  <si>
    <t>750\4</t>
  </si>
  <si>
    <t>Насос ГУРа</t>
  </si>
  <si>
    <t>стремянки кузова</t>
  </si>
  <si>
    <t>вакуум, суппорт мелочевка</t>
  </si>
  <si>
    <t>ТН 8</t>
  </si>
  <si>
    <t>автошины к-т</t>
  </si>
  <si>
    <t>В0648</t>
  </si>
  <si>
    <t>Вольтаж</t>
  </si>
  <si>
    <t>ремонт стартера</t>
  </si>
  <si>
    <t>АктиоРус</t>
  </si>
  <si>
    <t>рулевые тяги</t>
  </si>
  <si>
    <t>Кулаки поворотные и тяги рулевые</t>
  </si>
  <si>
    <t>ремонт гидроцилиндра кузова</t>
  </si>
  <si>
    <t>ИП Саргсян</t>
  </si>
  <si>
    <t>палец стрелы</t>
  </si>
  <si>
    <t>ИП Воробьев</t>
  </si>
  <si>
    <t>шины 2 шт</t>
  </si>
  <si>
    <t>ремонт тормозной системы</t>
  </si>
  <si>
    <t>Полное ТО с заменой ГЖ</t>
  </si>
  <si>
    <t>пробег (наработка)</t>
  </si>
  <si>
    <t>пробег</t>
  </si>
  <si>
    <t>Маховик</t>
  </si>
  <si>
    <t>аПР</t>
  </si>
  <si>
    <t>к-кт сцепления</t>
  </si>
  <si>
    <t xml:space="preserve">А 382 МН 797 </t>
  </si>
  <si>
    <t xml:space="preserve">А 382 МН  797 </t>
  </si>
  <si>
    <t>апр</t>
  </si>
  <si>
    <t>маховик и болт маховика</t>
  </si>
  <si>
    <t>3296/4</t>
  </si>
  <si>
    <t>т-запчасти</t>
  </si>
  <si>
    <t>ФриВэй</t>
  </si>
  <si>
    <t>УТ-35521</t>
  </si>
  <si>
    <t>Радиатор кондиционера</t>
  </si>
  <si>
    <t>УТ-35629</t>
  </si>
  <si>
    <t>Фривэй</t>
  </si>
  <si>
    <t>венец маховика</t>
  </si>
  <si>
    <t>3374/4</t>
  </si>
  <si>
    <t>Т-запчасти</t>
  </si>
  <si>
    <t>барабан тормозной</t>
  </si>
  <si>
    <t>ООО Каскад спецтехсервис</t>
  </si>
  <si>
    <t>3372-4</t>
  </si>
  <si>
    <t>3372/4</t>
  </si>
  <si>
    <t>редуктор привода ТНВД</t>
  </si>
  <si>
    <t>Т2615</t>
  </si>
  <si>
    <t>АСТ Комплект</t>
  </si>
  <si>
    <t>корпус бортовой</t>
  </si>
  <si>
    <t>УТ-3744</t>
  </si>
  <si>
    <t>ООО Селтекс</t>
  </si>
  <si>
    <t>прокладки ГБЦ</t>
  </si>
  <si>
    <t>363/4</t>
  </si>
  <si>
    <t>подкачка и фильтр</t>
  </si>
  <si>
    <t>ДВС00001942</t>
  </si>
  <si>
    <t>Технический центр ДВС</t>
  </si>
  <si>
    <t>дефектовка ГБЦ</t>
  </si>
  <si>
    <t>3627/4</t>
  </si>
  <si>
    <t>шланг, антифриз</t>
  </si>
  <si>
    <t>УТ-40813</t>
  </si>
  <si>
    <t>Фри Вэй</t>
  </si>
  <si>
    <t>форсунки двигателя</t>
  </si>
  <si>
    <t>УТ-953</t>
  </si>
  <si>
    <t>ГБЦ</t>
  </si>
  <si>
    <t>ремонт электрики</t>
  </si>
  <si>
    <t>Дорсервис</t>
  </si>
  <si>
    <t>НОЖ ковша</t>
  </si>
  <si>
    <t>ИП Топал</t>
  </si>
  <si>
    <t>РМК аутригеров</t>
  </si>
  <si>
    <t>УТ-148</t>
  </si>
  <si>
    <t>болт, гайка рессоры</t>
  </si>
  <si>
    <t>МШ-0020722</t>
  </si>
  <si>
    <t>ППР</t>
  </si>
  <si>
    <t>штны</t>
  </si>
  <si>
    <t>Актио Рус</t>
  </si>
  <si>
    <t>болт ковша</t>
  </si>
  <si>
    <t>ААМС-2565</t>
  </si>
  <si>
    <t>АСТ</t>
  </si>
  <si>
    <t>палец и зуб ковша</t>
  </si>
  <si>
    <t>замена кулаков</t>
  </si>
  <si>
    <t>сальники, втулки редуктора</t>
  </si>
  <si>
    <t>Авторусь Ритейл</t>
  </si>
  <si>
    <t>зпмена интеркулера</t>
  </si>
  <si>
    <t>МСБ Групп</t>
  </si>
  <si>
    <t>замена стекол</t>
  </si>
  <si>
    <t>77 РМ 3409</t>
  </si>
  <si>
    <t>ААМС-2644</t>
  </si>
  <si>
    <t>задний фонарь</t>
  </si>
  <si>
    <t>фара</t>
  </si>
  <si>
    <t>ГТ Групп</t>
  </si>
  <si>
    <t>опорные катки</t>
  </si>
  <si>
    <t>Стропсервис</t>
  </si>
  <si>
    <t>цепи для крепления техники</t>
  </si>
  <si>
    <t xml:space="preserve">Экскаватор Sany 330 </t>
  </si>
  <si>
    <t>Sanny 330'!A1</t>
  </si>
  <si>
    <t>ААМС-2782</t>
  </si>
  <si>
    <t>Диагностика</t>
  </si>
  <si>
    <t>сальники,</t>
  </si>
  <si>
    <t>УТ-230</t>
  </si>
  <si>
    <t>РМК тормозной системы</t>
  </si>
  <si>
    <t>ИП Тапал</t>
  </si>
  <si>
    <t>замена стабилизатора аутригеров</t>
  </si>
  <si>
    <t>диагностика работы двигателя</t>
  </si>
  <si>
    <t>Гидро-пневмогрупп</t>
  </si>
  <si>
    <t>ремонт гидронасоса</t>
  </si>
  <si>
    <t>Трак трейдер</t>
  </si>
  <si>
    <t xml:space="preserve">ремонт конвеера и ходовой </t>
  </si>
  <si>
    <t>УТ-539</t>
  </si>
  <si>
    <t>РМК рессоры</t>
  </si>
  <si>
    <t>УТ-262</t>
  </si>
  <si>
    <t>палец рессоры</t>
  </si>
  <si>
    <t>кап ремонт двс</t>
  </si>
  <si>
    <t>педаль кнопка молота</t>
  </si>
  <si>
    <t>замена датчика</t>
  </si>
  <si>
    <t>Задний фонарь</t>
  </si>
  <si>
    <t>комплект прокладок</t>
  </si>
  <si>
    <t>ТИ-27878</t>
  </si>
  <si>
    <t>Технопарк</t>
  </si>
  <si>
    <t>пика для отбойнтка</t>
  </si>
  <si>
    <t>Гтдротехтрейд</t>
  </si>
  <si>
    <t>ремонт гидроцилиндров стрелы</t>
  </si>
  <si>
    <t>СиноРус Сервис</t>
  </si>
  <si>
    <t>ремонт эл.проводки</t>
  </si>
  <si>
    <t>е-зап</t>
  </si>
  <si>
    <t>радиатор кондиционера</t>
  </si>
  <si>
    <t>ААМС-0003392</t>
  </si>
  <si>
    <t>катридж воздушного фильтра</t>
  </si>
  <si>
    <t>замена ЦПГ</t>
  </si>
  <si>
    <t>ИП Цынцарь</t>
  </si>
  <si>
    <t>мойка радиаторов</t>
  </si>
  <si>
    <t>накидные гусеницы</t>
  </si>
  <si>
    <t>ТИ-31535</t>
  </si>
  <si>
    <t>Гидромолот и квик каплер</t>
  </si>
  <si>
    <t>ТИ-31742</t>
  </si>
  <si>
    <t>РМК гидромолота</t>
  </si>
  <si>
    <t>В1402</t>
  </si>
  <si>
    <t>В1406</t>
  </si>
  <si>
    <t>Тепло холод</t>
  </si>
  <si>
    <t>запрака кондиционера</t>
  </si>
  <si>
    <t>3728\4</t>
  </si>
  <si>
    <t>головка блока цилиндров, форсунки</t>
  </si>
  <si>
    <t>регулировка кулисы</t>
  </si>
  <si>
    <t>валы редуктора и гидромотора</t>
  </si>
  <si>
    <t>Дапуконы бортовой передачи</t>
  </si>
  <si>
    <t>РК гидромолота</t>
  </si>
  <si>
    <t>Прокладка крышки клапанов</t>
  </si>
  <si>
    <t>Мирдортехника</t>
  </si>
  <si>
    <t>замок зажигания</t>
  </si>
  <si>
    <t>Венец маховика</t>
  </si>
  <si>
    <t>сальник полуоси</t>
  </si>
  <si>
    <t>замена педали газа</t>
  </si>
  <si>
    <t>ИП Стешаков</t>
  </si>
  <si>
    <t>валы питателя</t>
  </si>
  <si>
    <t>вилы с установкой</t>
  </si>
  <si>
    <t>колеса в сборе</t>
  </si>
  <si>
    <t>УТ-716</t>
  </si>
  <si>
    <t>колодки, ключ</t>
  </si>
  <si>
    <t>УТ-625</t>
  </si>
  <si>
    <t>рессора пневматическая</t>
  </si>
  <si>
    <t>УТ-847</t>
  </si>
  <si>
    <t>крестовина</t>
  </si>
  <si>
    <t>ремонт VVS бункера</t>
  </si>
  <si>
    <t>ВирСкрвис</t>
  </si>
  <si>
    <t>ремонт пульта</t>
  </si>
  <si>
    <t>ИП Баранов</t>
  </si>
  <si>
    <t>ремонт проводки двигателя</t>
  </si>
  <si>
    <t>ремонт проводки</t>
  </si>
  <si>
    <t>прокладка ГБЦ</t>
  </si>
  <si>
    <t>фильтр и шины</t>
  </si>
  <si>
    <t>шины,корпус</t>
  </si>
  <si>
    <t>стоимость ремонта</t>
  </si>
  <si>
    <t>ремонт подьема кузова</t>
  </si>
  <si>
    <t>ВирСервис</t>
  </si>
  <si>
    <t>замена подшипника вальцов</t>
  </si>
  <si>
    <t>Трак Юнит</t>
  </si>
  <si>
    <t>форсунки и насос водяной</t>
  </si>
  <si>
    <t>стекло крыши изогнутое</t>
  </si>
  <si>
    <t>ремонт гидромотора</t>
  </si>
  <si>
    <t>ремонт датчика</t>
  </si>
  <si>
    <t>запчасти после ДТП</t>
  </si>
  <si>
    <t>Атлант</t>
  </si>
  <si>
    <t>шины</t>
  </si>
  <si>
    <t>тормозные цилиндры и жидкость</t>
  </si>
  <si>
    <t>катушка электромагнитная</t>
  </si>
  <si>
    <t>водяной фильтр</t>
  </si>
  <si>
    <t>диагностика и ремонт</t>
  </si>
  <si>
    <t>стекло заднее</t>
  </si>
  <si>
    <t>ООО ТЛ</t>
  </si>
  <si>
    <t>сочлинение</t>
  </si>
  <si>
    <t>ремонт жгута проводки</t>
  </si>
  <si>
    <t>вклейка стекла</t>
  </si>
  <si>
    <t>ООО ЗКМ</t>
  </si>
  <si>
    <t>насос аппарели</t>
  </si>
  <si>
    <t>Атлас</t>
  </si>
  <si>
    <t>диски</t>
  </si>
  <si>
    <t>шины перед</t>
  </si>
  <si>
    <t>СканЮго Восток</t>
  </si>
  <si>
    <t xml:space="preserve">ремонт платы ЭБУ </t>
  </si>
  <si>
    <t>КАМСПАРТС</t>
  </si>
  <si>
    <t>датчик давления масла</t>
  </si>
  <si>
    <t>корпус бортовой передачи</t>
  </si>
  <si>
    <t>ремонт генератора</t>
  </si>
  <si>
    <t>турбина</t>
  </si>
  <si>
    <t>АТМ</t>
  </si>
  <si>
    <t>СНТ Трейд</t>
  </si>
  <si>
    <t>ступичные гайки</t>
  </si>
  <si>
    <t>пальцы стрелы</t>
  </si>
  <si>
    <t>ремонт шкворней</t>
  </si>
  <si>
    <t>729-3</t>
  </si>
  <si>
    <t>ИП Беспалов</t>
  </si>
  <si>
    <t>замена блока СКЗИ</t>
  </si>
  <si>
    <t>сход развал</t>
  </si>
  <si>
    <t>спутник</t>
  </si>
  <si>
    <t>АС-10</t>
  </si>
  <si>
    <t>работы с электрикой</t>
  </si>
  <si>
    <t>работа с проводкой</t>
  </si>
  <si>
    <t>РК амортизатора</t>
  </si>
  <si>
    <t>тяга рулевая</t>
  </si>
  <si>
    <t>РК пальца рессоры, серьга рессоры</t>
  </si>
  <si>
    <t>РусАгроСтрой</t>
  </si>
  <si>
    <t>зачистные ножи</t>
  </si>
  <si>
    <t>плунжер</t>
  </si>
  <si>
    <t>Турбина</t>
  </si>
  <si>
    <t>Селтекс</t>
  </si>
  <si>
    <t>ИП Мелкин</t>
  </si>
  <si>
    <t>восстановление чулка</t>
  </si>
  <si>
    <t>ботовая</t>
  </si>
  <si>
    <t>ремонт ЭБУ</t>
  </si>
  <si>
    <t>Лидер Партс</t>
  </si>
  <si>
    <t>зубы ковша</t>
  </si>
  <si>
    <t>Комплект болтов ГБЦ</t>
  </si>
  <si>
    <t>пиеа</t>
  </si>
  <si>
    <t>АС-19</t>
  </si>
  <si>
    <t>выезд специалиста</t>
  </si>
  <si>
    <t>сальник бортовой</t>
  </si>
  <si>
    <t>ручка КПП</t>
  </si>
  <si>
    <t>МирДорТехника</t>
  </si>
  <si>
    <t>сухари</t>
  </si>
  <si>
    <t>Тракмастер-42</t>
  </si>
  <si>
    <t>работы по уствновке ГБЦ</t>
  </si>
  <si>
    <t>АГ-Сервис</t>
  </si>
  <si>
    <t>ремонт ГУРа</t>
  </si>
  <si>
    <t>3804\4</t>
  </si>
  <si>
    <t xml:space="preserve"> Т-запчасти</t>
  </si>
  <si>
    <t>к-т сцепления</t>
  </si>
  <si>
    <t>3796\4</t>
  </si>
  <si>
    <t>насос ГУРа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</si>
</sst>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i/>
      <sz val="16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/>
    <xf numFmtId="164" fontId="4" fillId="2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center" wrapText="1"/>
    </xf>
    <xf numFmtId="0" fontId="9" fillId="0" borderId="21" xfId="1" applyBorder="1" applyAlignment="1">
      <alignment vertical="center" wrapText="1"/>
    </xf>
    <xf numFmtId="0" fontId="9" fillId="0" borderId="22" xfId="1" applyBorder="1" applyAlignment="1">
      <alignment vertical="center" wrapText="1"/>
    </xf>
    <xf numFmtId="0" fontId="9" fillId="3" borderId="23" xfId="1" applyFill="1" applyBorder="1" applyAlignment="1">
      <alignment vertical="center" wrapText="1"/>
    </xf>
    <xf numFmtId="0" fontId="9" fillId="0" borderId="23" xfId="1" applyBorder="1" applyAlignment="1">
      <alignment vertical="center" wrapText="1"/>
    </xf>
    <xf numFmtId="0" fontId="9" fillId="0" borderId="24" xfId="1" applyBorder="1" applyAlignment="1">
      <alignment vertical="center" wrapText="1"/>
    </xf>
    <xf numFmtId="0" fontId="9" fillId="0" borderId="25" xfId="1" applyBorder="1" applyAlignment="1">
      <alignment vertical="center" wrapText="1"/>
    </xf>
    <xf numFmtId="0" fontId="9" fillId="0" borderId="22" xfId="1" applyBorder="1" applyAlignment="1">
      <alignment horizontal="left" vertical="center" wrapText="1"/>
    </xf>
    <xf numFmtId="0" fontId="9" fillId="0" borderId="25" xfId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9" fillId="0" borderId="24" xfId="1" applyBorder="1" applyAlignment="1">
      <alignment horizontal="left" vertical="center" wrapText="1"/>
    </xf>
    <xf numFmtId="0" fontId="9" fillId="0" borderId="0" xfId="1" applyFill="1" applyBorder="1" applyAlignment="1">
      <alignment vertical="center" wrapText="1"/>
    </xf>
    <xf numFmtId="0" fontId="9" fillId="3" borderId="22" xfId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64" fontId="12" fillId="2" borderId="19" xfId="0" applyNumberFormat="1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" fillId="4" borderId="30" xfId="0" applyNumberFormat="1" applyFont="1" applyFill="1" applyBorder="1" applyAlignment="1">
      <alignment horizontal="center" vertical="center"/>
    </xf>
    <xf numFmtId="164" fontId="1" fillId="4" borderId="28" xfId="0" applyNumberFormat="1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center" vertical="center"/>
    </xf>
    <xf numFmtId="164" fontId="11" fillId="0" borderId="30" xfId="0" applyNumberFormat="1" applyFont="1" applyBorder="1" applyAlignment="1">
      <alignment horizontal="center" vertical="center"/>
    </xf>
    <xf numFmtId="0" fontId="9" fillId="3" borderId="22" xfId="1" applyFill="1" applyBorder="1" applyAlignment="1">
      <alignment horizontal="left" vertical="center" wrapText="1"/>
    </xf>
    <xf numFmtId="164" fontId="1" fillId="0" borderId="32" xfId="0" applyNumberFormat="1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/>
    </xf>
    <xf numFmtId="0" fontId="9" fillId="0" borderId="35" xfId="1" applyBorder="1" applyAlignment="1">
      <alignment horizontal="left" vertical="center" wrapText="1"/>
    </xf>
    <xf numFmtId="0" fontId="9" fillId="0" borderId="36" xfId="1" applyBorder="1" applyAlignment="1">
      <alignment horizontal="left" vertical="center" wrapText="1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3" borderId="37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0" xfId="1" quotePrefix="1" applyBorder="1" applyAlignment="1">
      <alignment horizontal="left" vertical="center" wrapText="1"/>
    </xf>
    <xf numFmtId="17" fontId="3" fillId="0" borderId="4" xfId="0" applyNumberFormat="1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9" fillId="6" borderId="0" xfId="1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opLeftCell="A37" zoomScale="70" zoomScaleNormal="70" workbookViewId="0">
      <selection activeCell="D60" sqref="D60"/>
    </sheetView>
  </sheetViews>
  <sheetFormatPr defaultRowHeight="14.4" x14ac:dyDescent="0.3"/>
  <cols>
    <col min="1" max="1" width="10.109375" style="2" customWidth="1"/>
    <col min="2" max="2" width="7.109375" style="3" customWidth="1"/>
    <col min="3" max="3" width="21.88671875" style="3" customWidth="1"/>
    <col min="4" max="4" width="37.109375" style="3" customWidth="1"/>
    <col min="5" max="5" width="25.33203125" style="61" customWidth="1"/>
    <col min="6" max="6" width="23" style="61" customWidth="1"/>
    <col min="7" max="7" width="21.5546875" style="61" customWidth="1"/>
    <col min="8" max="14" width="8.88671875" style="2"/>
  </cols>
  <sheetData>
    <row r="1" spans="2:7" ht="15" thickBot="1" x14ac:dyDescent="0.35"/>
    <row r="2" spans="2:7" ht="21" thickBot="1" x14ac:dyDescent="0.35">
      <c r="B2" s="99" t="s">
        <v>233</v>
      </c>
      <c r="C2" s="100"/>
      <c r="D2" s="100"/>
      <c r="E2" s="101" t="s">
        <v>359</v>
      </c>
      <c r="F2" s="102"/>
      <c r="G2" s="103"/>
    </row>
    <row r="3" spans="2:7" ht="27" thickBot="1" x14ac:dyDescent="0.35">
      <c r="B3" s="104" t="s">
        <v>214</v>
      </c>
      <c r="C3" s="105"/>
      <c r="D3" s="105"/>
      <c r="E3" s="71" t="s">
        <v>7</v>
      </c>
      <c r="F3" s="70" t="s">
        <v>9</v>
      </c>
      <c r="G3" s="70" t="s">
        <v>8</v>
      </c>
    </row>
    <row r="4" spans="2:7" x14ac:dyDescent="0.3">
      <c r="B4" s="46">
        <v>1</v>
      </c>
      <c r="C4" s="33" t="s">
        <v>11</v>
      </c>
      <c r="D4" s="49" t="s">
        <v>13</v>
      </c>
      <c r="E4" s="62">
        <f>нива!E11</f>
        <v>0</v>
      </c>
      <c r="F4" s="62">
        <f>нива!F11</f>
        <v>0</v>
      </c>
      <c r="G4" s="63">
        <f>нива!G11</f>
        <v>0</v>
      </c>
    </row>
    <row r="5" spans="2:7" x14ac:dyDescent="0.3">
      <c r="B5" s="42">
        <v>2</v>
      </c>
      <c r="C5" s="32" t="s">
        <v>14</v>
      </c>
      <c r="D5" s="50" t="s">
        <v>16</v>
      </c>
      <c r="E5" s="64">
        <f>шкода!E11</f>
        <v>16350</v>
      </c>
      <c r="F5" s="64">
        <f>шкода!F11</f>
        <v>10750</v>
      </c>
      <c r="G5" s="65">
        <f>шкода!G11</f>
        <v>5600</v>
      </c>
    </row>
    <row r="6" spans="2:7" x14ac:dyDescent="0.3">
      <c r="B6" s="42">
        <v>3</v>
      </c>
      <c r="C6" s="32" t="s">
        <v>215</v>
      </c>
      <c r="D6" s="60" t="s">
        <v>217</v>
      </c>
      <c r="E6" s="75">
        <f>Camry!E12</f>
        <v>200290</v>
      </c>
      <c r="F6" s="64">
        <f>Camry!F12</f>
        <v>99350</v>
      </c>
      <c r="G6" s="65">
        <f>Camry!G12</f>
        <v>100940</v>
      </c>
    </row>
    <row r="7" spans="2:7" x14ac:dyDescent="0.3">
      <c r="B7" s="42">
        <v>5</v>
      </c>
      <c r="C7" s="32" t="s">
        <v>17</v>
      </c>
      <c r="D7" s="50" t="s">
        <v>19</v>
      </c>
      <c r="E7" s="75">
        <f>ЛК002!E11</f>
        <v>26900</v>
      </c>
      <c r="F7" s="64">
        <f>ЛК002!F11</f>
        <v>26900</v>
      </c>
      <c r="G7" s="65">
        <f>ЛК002!G11</f>
        <v>0</v>
      </c>
    </row>
    <row r="8" spans="2:7" x14ac:dyDescent="0.3">
      <c r="B8" s="42">
        <v>6</v>
      </c>
      <c r="C8" s="32" t="s">
        <v>20</v>
      </c>
      <c r="D8" s="50" t="s">
        <v>22</v>
      </c>
      <c r="E8" s="64">
        <f>Geely!E11</f>
        <v>0</v>
      </c>
      <c r="F8" s="64">
        <f>Geely!F11</f>
        <v>0</v>
      </c>
      <c r="G8" s="65">
        <f>Geely!G11</f>
        <v>0</v>
      </c>
    </row>
    <row r="9" spans="2:7" x14ac:dyDescent="0.3">
      <c r="B9" s="42">
        <v>7</v>
      </c>
      <c r="C9" s="32" t="s">
        <v>23</v>
      </c>
      <c r="D9" s="50" t="s">
        <v>25</v>
      </c>
      <c r="E9" s="75">
        <f>Haval!E11</f>
        <v>42370</v>
      </c>
      <c r="F9" s="64">
        <f>Haval!F11</f>
        <v>36630</v>
      </c>
      <c r="G9" s="65">
        <f>Haval!G11</f>
        <v>5740</v>
      </c>
    </row>
    <row r="10" spans="2:7" x14ac:dyDescent="0.3">
      <c r="B10" s="42">
        <v>8</v>
      </c>
      <c r="C10" s="32" t="s">
        <v>26</v>
      </c>
      <c r="D10" s="50" t="s">
        <v>28</v>
      </c>
      <c r="E10" s="64">
        <f>'LR-RR '!E11</f>
        <v>0</v>
      </c>
      <c r="F10" s="64">
        <f>'LR-RR '!F11</f>
        <v>0</v>
      </c>
      <c r="G10" s="65">
        <f>'LR-RR '!G11</f>
        <v>0</v>
      </c>
    </row>
    <row r="11" spans="2:7" x14ac:dyDescent="0.3">
      <c r="B11" s="42">
        <v>10</v>
      </c>
      <c r="C11" s="32" t="s">
        <v>29</v>
      </c>
      <c r="D11" s="50" t="s">
        <v>31</v>
      </c>
      <c r="E11" s="75">
        <f>'VW '!E11</f>
        <v>163221</v>
      </c>
      <c r="F11" s="64">
        <f>'VW '!F11</f>
        <v>106500</v>
      </c>
      <c r="G11" s="65">
        <f>'VW '!G11</f>
        <v>56721</v>
      </c>
    </row>
    <row r="12" spans="2:7" ht="15" thickBot="1" x14ac:dyDescent="0.35">
      <c r="B12" s="44">
        <v>11</v>
      </c>
      <c r="C12" s="34" t="s">
        <v>32</v>
      </c>
      <c r="D12" s="51" t="s">
        <v>34</v>
      </c>
      <c r="E12" s="75">
        <f>Kia!E11</f>
        <v>8336.9</v>
      </c>
      <c r="F12" s="64">
        <f>Kia!F11</f>
        <v>8336.9</v>
      </c>
      <c r="G12" s="65">
        <f>Kia!G11</f>
        <v>0</v>
      </c>
    </row>
    <row r="13" spans="2:7" ht="16.8" thickBot="1" x14ac:dyDescent="0.35">
      <c r="B13" s="88" t="s">
        <v>218</v>
      </c>
      <c r="C13" s="89"/>
      <c r="D13" s="89"/>
      <c r="E13" s="72"/>
      <c r="F13" s="73"/>
      <c r="G13" s="73"/>
    </row>
    <row r="14" spans="2:7" ht="25.8" customHeight="1" x14ac:dyDescent="0.3">
      <c r="B14" s="46">
        <v>1</v>
      </c>
      <c r="C14" s="47" t="s">
        <v>0</v>
      </c>
      <c r="D14" s="49" t="s">
        <v>2</v>
      </c>
      <c r="E14" s="64">
        <f>'Г 789'!E11</f>
        <v>0</v>
      </c>
      <c r="F14" s="64">
        <f>'Г 789'!F11</f>
        <v>0</v>
      </c>
      <c r="G14" s="65">
        <f>'Г 789'!G11</f>
        <v>0</v>
      </c>
    </row>
    <row r="15" spans="2:7" ht="25.8" customHeight="1" x14ac:dyDescent="0.3">
      <c r="B15" s="42">
        <v>2</v>
      </c>
      <c r="C15" s="25" t="s">
        <v>35</v>
      </c>
      <c r="D15" s="50" t="s">
        <v>37</v>
      </c>
      <c r="E15" s="64">
        <f>'Г 171'!E11</f>
        <v>33650</v>
      </c>
      <c r="F15" s="64">
        <f>'Г 171'!F11</f>
        <v>33650</v>
      </c>
      <c r="G15" s="65">
        <f>'Г 171'!G11</f>
        <v>0</v>
      </c>
    </row>
    <row r="16" spans="2:7" ht="25.8" customHeight="1" x14ac:dyDescent="0.3">
      <c r="B16" s="42">
        <v>3</v>
      </c>
      <c r="C16" s="25" t="s">
        <v>38</v>
      </c>
      <c r="D16" s="50" t="s">
        <v>40</v>
      </c>
      <c r="E16" s="64">
        <f>'Г 456'!E12</f>
        <v>33400</v>
      </c>
      <c r="F16" s="64">
        <f>'Г 456'!F12</f>
        <v>33400</v>
      </c>
      <c r="G16" s="65">
        <f>'Г 456'!G12</f>
        <v>0</v>
      </c>
    </row>
    <row r="17" spans="2:7" ht="25.8" customHeight="1" x14ac:dyDescent="0.3">
      <c r="B17" s="42">
        <v>4</v>
      </c>
      <c r="C17" s="25" t="s">
        <v>41</v>
      </c>
      <c r="D17" s="50" t="s">
        <v>43</v>
      </c>
      <c r="E17" s="64">
        <f>'Г 900'!E11</f>
        <v>10000</v>
      </c>
      <c r="F17" s="64">
        <f>'Г 900'!F11</f>
        <v>0</v>
      </c>
      <c r="G17" s="65">
        <f>'Г 900'!G11</f>
        <v>10000</v>
      </c>
    </row>
    <row r="18" spans="2:7" ht="25.8" customHeight="1" x14ac:dyDescent="0.3">
      <c r="B18" s="42">
        <v>5</v>
      </c>
      <c r="C18" s="32" t="s">
        <v>44</v>
      </c>
      <c r="D18" s="50" t="s">
        <v>46</v>
      </c>
      <c r="E18" s="64">
        <f>'Г 189'!E11</f>
        <v>164670</v>
      </c>
      <c r="F18" s="64">
        <f>'Г 189'!F11</f>
        <v>164670</v>
      </c>
      <c r="G18" s="65">
        <f>'Г 189'!G11</f>
        <v>0</v>
      </c>
    </row>
    <row r="19" spans="2:7" ht="25.8" customHeight="1" x14ac:dyDescent="0.3">
      <c r="B19" s="42">
        <v>6</v>
      </c>
      <c r="C19" s="32" t="s">
        <v>47</v>
      </c>
      <c r="D19" s="50" t="s">
        <v>49</v>
      </c>
      <c r="E19" s="64">
        <f>'Г 982'!E11</f>
        <v>0</v>
      </c>
      <c r="F19" s="64">
        <f>'Г 982'!F11</f>
        <v>0</v>
      </c>
      <c r="G19" s="65">
        <f>'Г 982'!G11</f>
        <v>0</v>
      </c>
    </row>
    <row r="20" spans="2:7" ht="25.8" customHeight="1" x14ac:dyDescent="0.3">
      <c r="B20" s="42">
        <v>7</v>
      </c>
      <c r="C20" s="25" t="s">
        <v>50</v>
      </c>
      <c r="D20" s="50" t="s">
        <v>52</v>
      </c>
      <c r="E20" s="75">
        <f>'Г 503'!E11</f>
        <v>110088.56</v>
      </c>
      <c r="F20" s="64">
        <f>'Г 503'!F11</f>
        <v>47378.559999999998</v>
      </c>
      <c r="G20" s="65">
        <f>'Г 503'!G11</f>
        <v>62710</v>
      </c>
    </row>
    <row r="21" spans="2:7" ht="25.8" customHeight="1" x14ac:dyDescent="0.3">
      <c r="B21" s="42">
        <v>8</v>
      </c>
      <c r="C21" s="25" t="s">
        <v>53</v>
      </c>
      <c r="D21" s="50" t="s">
        <v>55</v>
      </c>
      <c r="E21" s="64">
        <f>'Г 035'!E11</f>
        <v>0</v>
      </c>
      <c r="F21" s="64">
        <f>'Г 035'!F11</f>
        <v>0</v>
      </c>
      <c r="G21" s="65">
        <f>'Г 035'!G11</f>
        <v>0</v>
      </c>
    </row>
    <row r="22" spans="2:7" ht="25.8" customHeight="1" x14ac:dyDescent="0.3">
      <c r="B22" s="42">
        <v>9</v>
      </c>
      <c r="C22" s="32" t="s">
        <v>56</v>
      </c>
      <c r="D22" s="50" t="s">
        <v>58</v>
      </c>
      <c r="E22" s="64">
        <f>'FT 479'!E11</f>
        <v>130801.61</v>
      </c>
      <c r="F22" s="64">
        <f>'FT 479'!F11</f>
        <v>115801.61</v>
      </c>
      <c r="G22" s="65">
        <f>'FT 479'!G11</f>
        <v>15000</v>
      </c>
    </row>
    <row r="23" spans="2:7" ht="25.8" customHeight="1" x14ac:dyDescent="0.3">
      <c r="B23" s="42">
        <v>10</v>
      </c>
      <c r="C23" s="25" t="s">
        <v>59</v>
      </c>
      <c r="D23" s="50" t="s">
        <v>61</v>
      </c>
      <c r="E23" s="64">
        <f>'FT 978'!E11</f>
        <v>0</v>
      </c>
      <c r="F23" s="64">
        <f>'FT 978'!F11</f>
        <v>0</v>
      </c>
      <c r="G23" s="65">
        <f>'FT 978'!G11</f>
        <v>0</v>
      </c>
    </row>
    <row r="24" spans="2:7" ht="30" customHeight="1" x14ac:dyDescent="0.3">
      <c r="B24" s="42">
        <v>11</v>
      </c>
      <c r="C24" s="25" t="s">
        <v>62</v>
      </c>
      <c r="D24" s="50" t="s">
        <v>64</v>
      </c>
      <c r="E24" s="64">
        <f>'FT 335'!E11</f>
        <v>0</v>
      </c>
      <c r="F24" s="64">
        <f>'FT 335'!F11</f>
        <v>0</v>
      </c>
      <c r="G24" s="65">
        <f>'FT 335'!G11</f>
        <v>0</v>
      </c>
    </row>
    <row r="25" spans="2:7" ht="20.399999999999999" customHeight="1" thickBot="1" x14ac:dyDescent="0.35">
      <c r="B25" s="44">
        <v>12</v>
      </c>
      <c r="C25" s="45" t="s">
        <v>65</v>
      </c>
      <c r="D25" s="52" t="s">
        <v>67</v>
      </c>
      <c r="E25" s="75">
        <f>'FT 344'!E11</f>
        <v>12230</v>
      </c>
      <c r="F25" s="64">
        <f>'FT 344'!F11</f>
        <v>4230</v>
      </c>
      <c r="G25" s="65">
        <f>'FT 344'!G11</f>
        <v>8000</v>
      </c>
    </row>
    <row r="26" spans="2:7" ht="16.8" thickBot="1" x14ac:dyDescent="0.35">
      <c r="B26" s="88" t="s">
        <v>219</v>
      </c>
      <c r="C26" s="89"/>
      <c r="D26" s="89"/>
      <c r="E26" s="72"/>
      <c r="F26" s="73"/>
      <c r="G26" s="73"/>
    </row>
    <row r="27" spans="2:7" x14ac:dyDescent="0.3">
      <c r="B27" s="41">
        <v>1</v>
      </c>
      <c r="C27" s="35" t="s">
        <v>71</v>
      </c>
      <c r="D27" s="53" t="s">
        <v>73</v>
      </c>
      <c r="E27" s="64">
        <f>'Г 908'!E11</f>
        <v>0</v>
      </c>
      <c r="F27" s="64">
        <f>'Г 908'!F11</f>
        <v>0</v>
      </c>
      <c r="G27" s="65">
        <f>'Г 908'!G11</f>
        <v>0</v>
      </c>
    </row>
    <row r="28" spans="2:7" x14ac:dyDescent="0.3">
      <c r="B28" s="42">
        <v>2</v>
      </c>
      <c r="C28" s="25" t="s">
        <v>68</v>
      </c>
      <c r="D28" s="50" t="s">
        <v>70</v>
      </c>
      <c r="E28" s="64">
        <f>'FT 680'!E11</f>
        <v>0</v>
      </c>
      <c r="F28" s="64">
        <f>'FT 680'!F11</f>
        <v>0</v>
      </c>
      <c r="G28" s="65">
        <f>'FT 680'!G11</f>
        <v>0</v>
      </c>
    </row>
    <row r="29" spans="2:7" ht="15" thickBot="1" x14ac:dyDescent="0.35">
      <c r="B29" s="40">
        <v>3</v>
      </c>
      <c r="C29" s="36" t="s">
        <v>386</v>
      </c>
      <c r="D29" s="54" t="s">
        <v>74</v>
      </c>
      <c r="E29" s="64">
        <f>'FT 390'!E16</f>
        <v>106460.94</v>
      </c>
      <c r="F29" s="64">
        <f>'FT 390'!F16</f>
        <v>74460.94</v>
      </c>
      <c r="G29" s="65">
        <f>'FT 390'!G16</f>
        <v>32000</v>
      </c>
    </row>
    <row r="30" spans="2:7" ht="16.8" thickBot="1" x14ac:dyDescent="0.35">
      <c r="B30" s="88" t="s">
        <v>225</v>
      </c>
      <c r="C30" s="89"/>
      <c r="D30" s="89"/>
      <c r="E30" s="72"/>
      <c r="F30" s="73"/>
      <c r="G30" s="73"/>
    </row>
    <row r="31" spans="2:7" ht="43.2" x14ac:dyDescent="0.3">
      <c r="B31" s="41">
        <v>1</v>
      </c>
      <c r="C31" s="35" t="s">
        <v>75</v>
      </c>
      <c r="D31" s="53" t="s">
        <v>77</v>
      </c>
      <c r="E31" s="75">
        <f>Foton!E11</f>
        <v>20896.599999999999</v>
      </c>
      <c r="F31" s="64">
        <f>Foton!F11</f>
        <v>20896.599999999999</v>
      </c>
      <c r="G31" s="65">
        <f>Foton!G11</f>
        <v>0</v>
      </c>
    </row>
    <row r="32" spans="2:7" ht="28.8" x14ac:dyDescent="0.3">
      <c r="B32" s="42">
        <v>2</v>
      </c>
      <c r="C32" s="25" t="s">
        <v>79</v>
      </c>
      <c r="D32" s="50" t="s">
        <v>80</v>
      </c>
      <c r="E32" s="64">
        <f>КО!E11</f>
        <v>80100</v>
      </c>
      <c r="F32" s="64">
        <f>КО!F11</f>
        <v>15100</v>
      </c>
      <c r="G32" s="65">
        <f>КО!G11</f>
        <v>65000</v>
      </c>
    </row>
    <row r="33" spans="2:7" ht="29.4" thickBot="1" x14ac:dyDescent="0.35">
      <c r="B33" s="40">
        <v>3</v>
      </c>
      <c r="C33" s="36" t="s">
        <v>82</v>
      </c>
      <c r="D33" s="54" t="s">
        <v>84</v>
      </c>
      <c r="E33" s="75">
        <f>Гудронатор!E11</f>
        <v>736.84</v>
      </c>
      <c r="F33" s="64">
        <f>Гудронатор!F11</f>
        <v>736.84</v>
      </c>
      <c r="G33" s="65">
        <f>Гудронатор!G11</f>
        <v>0</v>
      </c>
    </row>
    <row r="34" spans="2:7" ht="16.8" thickBot="1" x14ac:dyDescent="0.35">
      <c r="B34" s="88" t="s">
        <v>226</v>
      </c>
      <c r="C34" s="89"/>
      <c r="D34" s="89"/>
      <c r="E34" s="72"/>
      <c r="F34" s="73"/>
      <c r="G34" s="73"/>
    </row>
    <row r="35" spans="2:7" x14ac:dyDescent="0.3">
      <c r="B35" s="46">
        <v>1</v>
      </c>
      <c r="C35" s="47" t="s">
        <v>85</v>
      </c>
      <c r="D35" s="79" t="s">
        <v>87</v>
      </c>
      <c r="E35" s="77">
        <f>'К 877'!E17</f>
        <v>195843</v>
      </c>
      <c r="F35" s="64">
        <f>'К 877'!F17</f>
        <v>84993</v>
      </c>
      <c r="G35" s="65">
        <f>'К 877'!G17</f>
        <v>110850</v>
      </c>
    </row>
    <row r="36" spans="2:7" x14ac:dyDescent="0.3">
      <c r="B36" s="42">
        <v>2</v>
      </c>
      <c r="C36" s="25" t="s">
        <v>88</v>
      </c>
      <c r="D36" s="80" t="s">
        <v>87</v>
      </c>
      <c r="E36" s="78">
        <f>'К 927'!E20</f>
        <v>541748</v>
      </c>
      <c r="F36" s="64">
        <f>'К 927'!F20</f>
        <v>247050</v>
      </c>
      <c r="G36" s="65">
        <f>'К 927'!G20</f>
        <v>294698</v>
      </c>
    </row>
    <row r="37" spans="2:7" x14ac:dyDescent="0.3">
      <c r="B37" s="41">
        <v>3</v>
      </c>
      <c r="C37" s="25" t="s">
        <v>90</v>
      </c>
      <c r="D37" s="80" t="s">
        <v>92</v>
      </c>
      <c r="E37" s="78">
        <f>'К 983'!E21</f>
        <v>1548983</v>
      </c>
      <c r="F37" s="64">
        <f>'К 983'!F21</f>
        <v>362923</v>
      </c>
      <c r="G37" s="65">
        <f>'К 983'!G21</f>
        <v>1186060</v>
      </c>
    </row>
    <row r="38" spans="2:7" x14ac:dyDescent="0.3">
      <c r="B38" s="42">
        <v>4</v>
      </c>
      <c r="C38" s="25" t="s">
        <v>93</v>
      </c>
      <c r="D38" s="80" t="s">
        <v>92</v>
      </c>
      <c r="E38" s="77">
        <f>'К 994'!E21</f>
        <v>267820</v>
      </c>
      <c r="F38" s="64">
        <f>'К 994'!F21</f>
        <v>179020</v>
      </c>
      <c r="G38" s="65">
        <f>'К 994'!G21</f>
        <v>121800</v>
      </c>
    </row>
    <row r="39" spans="2:7" x14ac:dyDescent="0.3">
      <c r="B39" s="41">
        <v>5</v>
      </c>
      <c r="C39" s="25" t="s">
        <v>95</v>
      </c>
      <c r="D39" s="80" t="s">
        <v>97</v>
      </c>
      <c r="E39" s="77">
        <f>'К 487'!E11</f>
        <v>189997</v>
      </c>
      <c r="F39" s="64">
        <f>'К 487'!F11</f>
        <v>59997</v>
      </c>
      <c r="G39" s="65">
        <f>'К 487'!G11</f>
        <v>130000</v>
      </c>
    </row>
    <row r="40" spans="2:7" x14ac:dyDescent="0.3">
      <c r="B40" s="42">
        <v>6</v>
      </c>
      <c r="C40" s="25" t="s">
        <v>98</v>
      </c>
      <c r="D40" s="80" t="s">
        <v>100</v>
      </c>
      <c r="E40" s="78">
        <f>'SH 152'!E18</f>
        <v>301751</v>
      </c>
      <c r="F40" s="64">
        <f>'SH 152'!F18</f>
        <v>23751</v>
      </c>
      <c r="G40" s="65">
        <f>'SH 152'!G18</f>
        <v>278000</v>
      </c>
    </row>
    <row r="41" spans="2:7" x14ac:dyDescent="0.3">
      <c r="B41" s="41">
        <v>7</v>
      </c>
      <c r="C41" s="25">
        <v>320</v>
      </c>
      <c r="D41" s="80" t="s">
        <v>101</v>
      </c>
      <c r="E41" s="77">
        <f>'К 320'!E11</f>
        <v>188661</v>
      </c>
      <c r="F41" s="64">
        <f>'К 320'!F11</f>
        <v>54971</v>
      </c>
      <c r="G41" s="65">
        <f>'К 320'!G11</f>
        <v>133690</v>
      </c>
    </row>
    <row r="42" spans="2:7" x14ac:dyDescent="0.3">
      <c r="B42" s="42">
        <v>8</v>
      </c>
      <c r="C42" s="25" t="s">
        <v>102</v>
      </c>
      <c r="D42" s="80" t="s">
        <v>100</v>
      </c>
      <c r="E42" s="77">
        <f>'SH 287'!E17</f>
        <v>195297</v>
      </c>
      <c r="F42" s="64">
        <f>'SH 287'!F17</f>
        <v>129757</v>
      </c>
      <c r="G42" s="65">
        <f>'SH 287'!G17</f>
        <v>65540</v>
      </c>
    </row>
    <row r="43" spans="2:7" x14ac:dyDescent="0.3">
      <c r="B43" s="41">
        <v>9</v>
      </c>
      <c r="C43" s="25" t="s">
        <v>104</v>
      </c>
      <c r="D43" s="80" t="s">
        <v>100</v>
      </c>
      <c r="E43" s="77">
        <f>'SH 265'!E11</f>
        <v>90628</v>
      </c>
      <c r="F43" s="64">
        <f>'SH 265'!F11</f>
        <v>90628</v>
      </c>
      <c r="G43" s="65">
        <f>'SH 265'!G11</f>
        <v>0</v>
      </c>
    </row>
    <row r="44" spans="2:7" x14ac:dyDescent="0.3">
      <c r="B44" s="42">
        <v>10</v>
      </c>
      <c r="C44" s="32" t="s">
        <v>106</v>
      </c>
      <c r="D44" s="80" t="s">
        <v>108</v>
      </c>
      <c r="E44" s="77">
        <f>'SH 989'!E11</f>
        <v>0</v>
      </c>
      <c r="F44" s="64">
        <f>'SH 989'!F11</f>
        <v>0</v>
      </c>
      <c r="G44" s="65">
        <f>'SH 989'!G11</f>
        <v>0</v>
      </c>
    </row>
    <row r="45" spans="2:7" ht="16.8" thickBot="1" x14ac:dyDescent="0.35">
      <c r="B45" s="90" t="s">
        <v>227</v>
      </c>
      <c r="C45" s="91"/>
      <c r="D45" s="91"/>
      <c r="E45" s="72"/>
      <c r="F45" s="73"/>
      <c r="G45" s="73"/>
    </row>
    <row r="46" spans="2:7" x14ac:dyDescent="0.3">
      <c r="B46" s="41">
        <v>1</v>
      </c>
      <c r="C46" s="25" t="s">
        <v>109</v>
      </c>
      <c r="D46" s="55" t="s">
        <v>111</v>
      </c>
      <c r="E46" s="75">
        <f>Sitrak!E24</f>
        <v>978550</v>
      </c>
      <c r="F46" s="64">
        <f>Sitrak!F24</f>
        <v>842500</v>
      </c>
      <c r="G46" s="65">
        <f>Sitrak!G24</f>
        <v>136050</v>
      </c>
    </row>
    <row r="47" spans="2:7" ht="29.4" thickBot="1" x14ac:dyDescent="0.35">
      <c r="B47" s="40">
        <v>2</v>
      </c>
      <c r="C47" s="25" t="s">
        <v>112</v>
      </c>
      <c r="D47" s="55" t="s">
        <v>114</v>
      </c>
      <c r="E47" s="64">
        <f>Scania!E21</f>
        <v>643354</v>
      </c>
      <c r="F47" s="64">
        <f>Scania!F21</f>
        <v>153720</v>
      </c>
      <c r="G47" s="65">
        <f>Scania!G21</f>
        <v>489634</v>
      </c>
    </row>
    <row r="48" spans="2:7" ht="16.8" thickBot="1" x14ac:dyDescent="0.35">
      <c r="B48" s="92" t="s">
        <v>273</v>
      </c>
      <c r="C48" s="93"/>
      <c r="D48" s="93"/>
      <c r="E48" s="72"/>
      <c r="F48" s="73"/>
      <c r="G48" s="73"/>
    </row>
    <row r="49" spans="2:7" ht="27" customHeight="1" x14ac:dyDescent="0.3">
      <c r="B49" s="41">
        <v>1</v>
      </c>
      <c r="C49" s="25" t="s">
        <v>115</v>
      </c>
      <c r="D49" s="55" t="s">
        <v>117</v>
      </c>
      <c r="E49" s="64">
        <f>Specpricep!E17</f>
        <v>168715</v>
      </c>
      <c r="F49" s="64">
        <f>Specpricep!F17</f>
        <v>124450</v>
      </c>
      <c r="G49" s="65">
        <f>Specpricep!G17</f>
        <v>44265</v>
      </c>
    </row>
    <row r="50" spans="2:7" x14ac:dyDescent="0.3">
      <c r="B50" s="43">
        <v>2</v>
      </c>
      <c r="C50" s="25" t="s">
        <v>118</v>
      </c>
      <c r="D50" s="56" t="s">
        <v>120</v>
      </c>
      <c r="E50" s="64">
        <f>Sinanli!E18</f>
        <v>243233.72</v>
      </c>
      <c r="F50" s="64">
        <f>Sinanli!F18</f>
        <v>94433.72</v>
      </c>
      <c r="G50" s="65">
        <f>Sinanli!G18</f>
        <v>148800</v>
      </c>
    </row>
    <row r="51" spans="2:7" ht="15" thickBot="1" x14ac:dyDescent="0.35">
      <c r="B51" s="40">
        <v>3</v>
      </c>
      <c r="C51" s="48"/>
      <c r="D51" s="57" t="s">
        <v>220</v>
      </c>
      <c r="E51" s="64"/>
      <c r="F51" s="65"/>
      <c r="G51" s="65"/>
    </row>
    <row r="52" spans="2:7" ht="16.8" thickBot="1" x14ac:dyDescent="0.35">
      <c r="B52" s="92" t="s">
        <v>228</v>
      </c>
      <c r="C52" s="93"/>
      <c r="D52" s="93"/>
      <c r="E52" s="72"/>
      <c r="F52" s="73"/>
      <c r="G52" s="73"/>
    </row>
    <row r="53" spans="2:7" x14ac:dyDescent="0.3">
      <c r="B53" s="41">
        <v>1</v>
      </c>
      <c r="C53" s="25" t="s">
        <v>121</v>
      </c>
      <c r="D53" s="55" t="s">
        <v>123</v>
      </c>
      <c r="E53" s="64">
        <f>'Ensign 8102'!E11</f>
        <v>61200</v>
      </c>
      <c r="F53" s="64">
        <f>'Ensign 8102'!F11</f>
        <v>61200</v>
      </c>
      <c r="G53" s="65">
        <f>'Ensign 8102'!G11</f>
        <v>0</v>
      </c>
    </row>
    <row r="54" spans="2:7" x14ac:dyDescent="0.3">
      <c r="B54" s="41">
        <v>2</v>
      </c>
      <c r="C54" s="25" t="s">
        <v>124</v>
      </c>
      <c r="D54" s="55" t="s">
        <v>123</v>
      </c>
      <c r="E54" s="64">
        <f>'Ensign 8101'!E11</f>
        <v>23100</v>
      </c>
      <c r="F54" s="64">
        <f>'Ensign 8101'!F11</f>
        <v>23100</v>
      </c>
      <c r="G54" s="65">
        <f>'Ensign 8101'!G11</f>
        <v>0</v>
      </c>
    </row>
    <row r="55" spans="2:7" ht="29.4" thickBot="1" x14ac:dyDescent="0.35">
      <c r="B55" s="43">
        <v>3</v>
      </c>
      <c r="C55" s="36" t="s">
        <v>126</v>
      </c>
      <c r="D55" s="56" t="s">
        <v>127</v>
      </c>
      <c r="E55" s="75">
        <f>XCMG!E14</f>
        <v>354300</v>
      </c>
      <c r="F55" s="64">
        <f>XCMG!F14</f>
        <v>341300</v>
      </c>
      <c r="G55" s="65">
        <f>XCMG!G14</f>
        <v>13000</v>
      </c>
    </row>
    <row r="56" spans="2:7" ht="16.8" thickBot="1" x14ac:dyDescent="0.35">
      <c r="B56" s="92" t="s">
        <v>229</v>
      </c>
      <c r="C56" s="93"/>
      <c r="D56" s="93"/>
      <c r="E56" s="72"/>
      <c r="F56" s="73"/>
      <c r="G56" s="73"/>
    </row>
    <row r="57" spans="2:7" x14ac:dyDescent="0.3">
      <c r="B57" s="41">
        <v>1</v>
      </c>
      <c r="C57" s="35" t="s">
        <v>129</v>
      </c>
      <c r="D57" s="58" t="s">
        <v>131</v>
      </c>
      <c r="E57" s="75">
        <f>'Case 4294'!E15</f>
        <v>1211879.2000000002</v>
      </c>
      <c r="F57" s="64">
        <f>'Case 4294'!F15</f>
        <v>1200879.2000000002</v>
      </c>
      <c r="G57" s="65">
        <f>'Case 4294'!G15</f>
        <v>11000</v>
      </c>
    </row>
    <row r="58" spans="2:7" ht="15" thickBot="1" x14ac:dyDescent="0.35">
      <c r="B58" s="43">
        <v>2</v>
      </c>
      <c r="C58" s="36" t="s">
        <v>132</v>
      </c>
      <c r="D58" s="56" t="s">
        <v>134</v>
      </c>
      <c r="E58" s="64">
        <f>'Case 7010'!E20</f>
        <v>426731.54000000004</v>
      </c>
      <c r="F58" s="64">
        <f>'Case 7010'!F20</f>
        <v>426731.54000000004</v>
      </c>
      <c r="G58" s="65">
        <f>'Case 7010'!G20</f>
        <v>0</v>
      </c>
    </row>
    <row r="59" spans="2:7" ht="16.8" thickBot="1" x14ac:dyDescent="0.35">
      <c r="B59" s="92" t="s">
        <v>230</v>
      </c>
      <c r="C59" s="93"/>
      <c r="D59" s="93"/>
      <c r="E59" s="72"/>
      <c r="F59" s="72"/>
      <c r="G59" s="73"/>
    </row>
    <row r="60" spans="2:7" x14ac:dyDescent="0.3">
      <c r="B60" s="41">
        <v>1</v>
      </c>
      <c r="C60" s="25" t="s">
        <v>135</v>
      </c>
      <c r="D60" s="55" t="s">
        <v>137</v>
      </c>
      <c r="E60" s="75">
        <f>'Case 580'!E22</f>
        <v>156836.35</v>
      </c>
      <c r="F60" s="64">
        <f>'Case 580'!F22</f>
        <v>111936.35</v>
      </c>
      <c r="G60" s="65">
        <f>'Case 580'!G22</f>
        <v>44900</v>
      </c>
    </row>
    <row r="61" spans="2:7" x14ac:dyDescent="0.3">
      <c r="B61" s="41">
        <v>2</v>
      </c>
      <c r="C61" s="17" t="s">
        <v>330</v>
      </c>
      <c r="D61" s="76" t="s">
        <v>138</v>
      </c>
      <c r="E61" s="75">
        <f>'Case 570'!E28</f>
        <v>825374.17999999993</v>
      </c>
      <c r="F61" s="64">
        <f>'Case 570'!F28</f>
        <v>376630.18</v>
      </c>
      <c r="G61" s="65">
        <f>'Case 570'!G28</f>
        <v>448744</v>
      </c>
    </row>
    <row r="62" spans="2:7" x14ac:dyDescent="0.3">
      <c r="B62" s="41">
        <v>3</v>
      </c>
      <c r="C62" s="25" t="s">
        <v>139</v>
      </c>
      <c r="D62" s="55" t="s">
        <v>141</v>
      </c>
      <c r="E62" s="75">
        <f>'CAT 428'!E14</f>
        <v>341142.78</v>
      </c>
      <c r="F62" s="64">
        <f>'CAT 428'!F14</f>
        <v>329142.78000000003</v>
      </c>
      <c r="G62" s="65">
        <f>'CAT 428'!G14</f>
        <v>12000</v>
      </c>
    </row>
    <row r="63" spans="2:7" x14ac:dyDescent="0.3">
      <c r="B63" s="41">
        <v>4</v>
      </c>
      <c r="C63" s="25" t="s">
        <v>142</v>
      </c>
      <c r="D63" s="55" t="s">
        <v>144</v>
      </c>
      <c r="E63" s="75">
        <f>'CAT 432'!E15</f>
        <v>214888.84</v>
      </c>
      <c r="F63" s="64">
        <f>'CAT 432'!F15</f>
        <v>149255.84</v>
      </c>
      <c r="G63" s="65">
        <f>'CAT 432'!G15</f>
        <v>65633</v>
      </c>
    </row>
    <row r="64" spans="2:7" ht="29.4" thickBot="1" x14ac:dyDescent="0.35">
      <c r="B64" s="41">
        <v>5</v>
      </c>
      <c r="C64" s="25" t="s">
        <v>145</v>
      </c>
      <c r="D64" s="55" t="s">
        <v>147</v>
      </c>
      <c r="E64" s="64">
        <f>'МТЗ 82'!E11</f>
        <v>29436</v>
      </c>
      <c r="F64" s="64">
        <f>'МТЗ 82'!F11</f>
        <v>29436</v>
      </c>
      <c r="G64" s="65">
        <f>'МТЗ 82'!G11</f>
        <v>0</v>
      </c>
    </row>
    <row r="65" spans="2:7" ht="16.8" thickBot="1" x14ac:dyDescent="0.35">
      <c r="B65" s="92" t="s">
        <v>221</v>
      </c>
      <c r="C65" s="93"/>
      <c r="D65" s="93"/>
      <c r="E65" s="72"/>
      <c r="F65" s="73"/>
      <c r="G65" s="73"/>
    </row>
    <row r="66" spans="2:7" x14ac:dyDescent="0.3">
      <c r="B66" s="41">
        <v>1</v>
      </c>
      <c r="C66" s="25" t="s">
        <v>148</v>
      </c>
      <c r="D66" s="55" t="s">
        <v>150</v>
      </c>
      <c r="E66" s="75">
        <f>'Sanny 55'!E13</f>
        <v>19141.98</v>
      </c>
      <c r="F66" s="64">
        <f>'Sanny 55'!F13</f>
        <v>19141.98</v>
      </c>
      <c r="G66" s="65">
        <f>'Sanny 55'!G13</f>
        <v>0</v>
      </c>
    </row>
    <row r="67" spans="2:7" x14ac:dyDescent="0.3">
      <c r="B67" s="41">
        <v>2</v>
      </c>
      <c r="C67" s="25" t="s">
        <v>151</v>
      </c>
      <c r="D67" s="55" t="s">
        <v>153</v>
      </c>
      <c r="E67" s="75">
        <f>'Sanny 75'!E17</f>
        <v>53811.08</v>
      </c>
      <c r="F67" s="64">
        <f>'Sanny 75'!F17</f>
        <v>41811.08</v>
      </c>
      <c r="G67" s="65">
        <f>'Sanny 75'!G17</f>
        <v>12000</v>
      </c>
    </row>
    <row r="68" spans="2:7" x14ac:dyDescent="0.3">
      <c r="B68" s="41">
        <v>3</v>
      </c>
      <c r="C68" s="25" t="s">
        <v>154</v>
      </c>
      <c r="D68" s="55" t="s">
        <v>156</v>
      </c>
      <c r="E68" s="64">
        <f>'Sanny 9524'!E11</f>
        <v>65548</v>
      </c>
      <c r="F68" s="64">
        <f>'Sanny 9524'!F11</f>
        <v>65548</v>
      </c>
      <c r="G68" s="65">
        <f>'Sanny 9524'!G11</f>
        <v>0</v>
      </c>
    </row>
    <row r="69" spans="2:7" x14ac:dyDescent="0.3">
      <c r="B69" s="41">
        <v>4</v>
      </c>
      <c r="C69" s="25" t="s">
        <v>157</v>
      </c>
      <c r="D69" s="55" t="s">
        <v>232</v>
      </c>
      <c r="E69" s="75">
        <f>'Sanny 9525'!E19</f>
        <v>199717</v>
      </c>
      <c r="F69" s="64">
        <f>'Sanny 9525'!F19</f>
        <v>199717</v>
      </c>
      <c r="G69" s="65">
        <f>'Sanny 9525'!G19</f>
        <v>0</v>
      </c>
    </row>
    <row r="70" spans="2:7" x14ac:dyDescent="0.3">
      <c r="B70" s="41">
        <v>5</v>
      </c>
      <c r="C70" s="25" t="s">
        <v>443</v>
      </c>
      <c r="D70" s="55" t="s">
        <v>162</v>
      </c>
      <c r="E70" s="64">
        <f>'Sanny 6820'!E11</f>
        <v>12680</v>
      </c>
      <c r="F70" s="64">
        <f>'Sanny 6820'!F11</f>
        <v>12680</v>
      </c>
      <c r="G70" s="65">
        <f>'Sanny 6820'!G11</f>
        <v>0</v>
      </c>
    </row>
    <row r="71" spans="2:7" x14ac:dyDescent="0.3">
      <c r="B71" s="41">
        <v>6</v>
      </c>
      <c r="C71" s="25" t="s">
        <v>163</v>
      </c>
      <c r="D71" s="55" t="s">
        <v>165</v>
      </c>
      <c r="E71" s="64">
        <f>'Sanny 7013'!E11</f>
        <v>0</v>
      </c>
      <c r="F71" s="64">
        <f>'Sanny 7013'!F11</f>
        <v>0</v>
      </c>
      <c r="G71" s="65">
        <f>'Sanny 7013'!G11</f>
        <v>0</v>
      </c>
    </row>
    <row r="72" spans="2:7" x14ac:dyDescent="0.3">
      <c r="B72" s="43">
        <v>7</v>
      </c>
      <c r="C72" s="26" t="s">
        <v>168</v>
      </c>
      <c r="D72" s="55" t="s">
        <v>167</v>
      </c>
      <c r="E72" s="75">
        <f>'CAT 318'!E22</f>
        <v>1294860</v>
      </c>
      <c r="F72" s="64">
        <f>'CAT 318'!F22</f>
        <v>1109860</v>
      </c>
      <c r="G72" s="65">
        <f>'CAT 318'!G22</f>
        <v>185000</v>
      </c>
    </row>
    <row r="73" spans="2:7" ht="15" thickBot="1" x14ac:dyDescent="0.35">
      <c r="B73" s="84">
        <v>8</v>
      </c>
      <c r="C73" s="85"/>
      <c r="D73" s="86" t="s">
        <v>452</v>
      </c>
      <c r="E73" s="75">
        <f>F73+G73</f>
        <v>36426</v>
      </c>
      <c r="F73" s="64">
        <f>'Sanny 330'!F6</f>
        <v>0</v>
      </c>
      <c r="G73" s="65">
        <f>'Sanny 330'!G6</f>
        <v>36426</v>
      </c>
    </row>
    <row r="74" spans="2:7" ht="16.8" thickBot="1" x14ac:dyDescent="0.35">
      <c r="B74" s="92" t="s">
        <v>222</v>
      </c>
      <c r="C74" s="93"/>
      <c r="D74" s="93"/>
      <c r="E74" s="72"/>
      <c r="F74" s="72"/>
      <c r="G74" s="73"/>
    </row>
    <row r="75" spans="2:7" ht="28.8" x14ac:dyDescent="0.3">
      <c r="B75" s="41">
        <v>1</v>
      </c>
      <c r="C75" s="25" t="s">
        <v>169</v>
      </c>
      <c r="D75" s="55" t="s">
        <v>171</v>
      </c>
      <c r="E75" s="64">
        <f>Liugong!E11</f>
        <v>9775.25</v>
      </c>
      <c r="F75" s="64">
        <f>Liugong!F11</f>
        <v>9775.25</v>
      </c>
      <c r="G75" s="65">
        <f>Liugong!G11</f>
        <v>0</v>
      </c>
    </row>
    <row r="76" spans="2:7" x14ac:dyDescent="0.3">
      <c r="B76" s="41">
        <v>2</v>
      </c>
      <c r="C76" s="25" t="s">
        <v>172</v>
      </c>
      <c r="D76" s="55" t="s">
        <v>174</v>
      </c>
      <c r="E76" s="64">
        <f>'Amann 7057'!E11</f>
        <v>0</v>
      </c>
      <c r="F76" s="64">
        <f>'Amann 7057'!F11</f>
        <v>0</v>
      </c>
      <c r="G76" s="65">
        <f>'Amann 7057'!G11</f>
        <v>0</v>
      </c>
    </row>
    <row r="77" spans="2:7" x14ac:dyDescent="0.3">
      <c r="B77" s="41">
        <v>3</v>
      </c>
      <c r="C77" s="25" t="s">
        <v>175</v>
      </c>
      <c r="D77" s="55" t="s">
        <v>174</v>
      </c>
      <c r="E77" s="64">
        <f>'Ammann 7011'!E11</f>
        <v>0</v>
      </c>
      <c r="F77" s="64">
        <f>'Ammann 7011'!F11</f>
        <v>0</v>
      </c>
      <c r="G77" s="65">
        <f>'Ammann 7011'!G11</f>
        <v>0</v>
      </c>
    </row>
    <row r="78" spans="2:7" x14ac:dyDescent="0.3">
      <c r="B78" s="41">
        <v>4</v>
      </c>
      <c r="C78" s="26" t="s">
        <v>177</v>
      </c>
      <c r="D78" s="55" t="s">
        <v>179</v>
      </c>
      <c r="E78" s="64">
        <f>'Hamm 4698'!E11</f>
        <v>98862</v>
      </c>
      <c r="F78" s="64">
        <f>'Hamm 4698'!F11</f>
        <v>72862</v>
      </c>
      <c r="G78" s="65">
        <f>'Hamm 4698'!G11</f>
        <v>26000</v>
      </c>
    </row>
    <row r="79" spans="2:7" ht="28.8" x14ac:dyDescent="0.3">
      <c r="B79" s="41">
        <v>5</v>
      </c>
      <c r="C79" s="25" t="s">
        <v>180</v>
      </c>
      <c r="D79" s="55" t="s">
        <v>182</v>
      </c>
      <c r="E79" s="64">
        <f>'ZDM 9579'!E11</f>
        <v>0</v>
      </c>
      <c r="F79" s="64">
        <f>'ZDM 9579'!F11</f>
        <v>0</v>
      </c>
      <c r="G79" s="65">
        <f>'ZDM 9579'!G11</f>
        <v>0</v>
      </c>
    </row>
    <row r="80" spans="2:7" ht="28.8" x14ac:dyDescent="0.3">
      <c r="B80" s="41">
        <v>6</v>
      </c>
      <c r="C80" s="25" t="s">
        <v>183</v>
      </c>
      <c r="D80" s="55" t="s">
        <v>185</v>
      </c>
      <c r="E80" s="64">
        <f>'ZDM 9580'!E11</f>
        <v>0</v>
      </c>
      <c r="F80" s="64">
        <f>'ZDM 9580'!F11</f>
        <v>0</v>
      </c>
      <c r="G80" s="65">
        <f>'ZDM 9580'!G11</f>
        <v>0</v>
      </c>
    </row>
    <row r="81" spans="2:7" ht="28.8" x14ac:dyDescent="0.3">
      <c r="B81" s="41">
        <v>7</v>
      </c>
      <c r="C81" s="25" t="s">
        <v>186</v>
      </c>
      <c r="D81" s="59" t="s">
        <v>187</v>
      </c>
      <c r="E81" s="64">
        <f>'Ammann 4897'!E11</f>
        <v>0</v>
      </c>
      <c r="F81" s="64">
        <f>'Ammann 4897'!F11</f>
        <v>0</v>
      </c>
      <c r="G81" s="65">
        <f>'Ammann 4897'!G11</f>
        <v>0</v>
      </c>
    </row>
    <row r="82" spans="2:7" x14ac:dyDescent="0.3">
      <c r="B82" s="41">
        <v>8</v>
      </c>
      <c r="C82" s="25" t="s">
        <v>188</v>
      </c>
      <c r="D82" s="55" t="s">
        <v>190</v>
      </c>
      <c r="E82" s="75">
        <f>'Hamm 4897'!E19</f>
        <v>381922.6</v>
      </c>
      <c r="F82" s="64">
        <f>'Hamm 4897'!F19</f>
        <v>183022.6</v>
      </c>
      <c r="G82" s="65">
        <f>'Hamm 4897'!G19</f>
        <v>198900</v>
      </c>
    </row>
    <row r="83" spans="2:7" ht="15" thickBot="1" x14ac:dyDescent="0.35">
      <c r="B83" s="43">
        <v>9</v>
      </c>
      <c r="C83" s="36" t="s">
        <v>191</v>
      </c>
      <c r="D83" s="56" t="s">
        <v>193</v>
      </c>
      <c r="E83" s="64">
        <f>'BW 161'!E11</f>
        <v>0</v>
      </c>
      <c r="F83" s="65"/>
      <c r="G83" s="65"/>
    </row>
    <row r="84" spans="2:7" ht="16.8" thickBot="1" x14ac:dyDescent="0.35">
      <c r="B84" s="92" t="s">
        <v>223</v>
      </c>
      <c r="C84" s="93"/>
      <c r="D84" s="93"/>
      <c r="E84" s="72"/>
      <c r="F84" s="73"/>
      <c r="G84" s="73"/>
    </row>
    <row r="85" spans="2:7" ht="28.8" x14ac:dyDescent="0.3">
      <c r="B85" s="41">
        <v>1</v>
      </c>
      <c r="C85" s="35" t="s">
        <v>194</v>
      </c>
      <c r="D85" s="53" t="s">
        <v>196</v>
      </c>
      <c r="E85" s="75">
        <f>'Vogel 6821'!E19</f>
        <v>1490048.81</v>
      </c>
      <c r="F85" s="64">
        <f>'Vogel 6821'!F19</f>
        <v>1068648.81</v>
      </c>
      <c r="G85" s="65">
        <f>'Vogel 6821'!G19</f>
        <v>421400</v>
      </c>
    </row>
    <row r="86" spans="2:7" ht="28.8" x14ac:dyDescent="0.3">
      <c r="B86" s="42">
        <v>2</v>
      </c>
      <c r="C86" s="25" t="s">
        <v>197</v>
      </c>
      <c r="D86" s="50" t="s">
        <v>199</v>
      </c>
      <c r="E86" s="75">
        <f>'Vogel 5812'!E18</f>
        <v>871607.5</v>
      </c>
      <c r="F86" s="64">
        <f>'Vogel 5812'!F18</f>
        <v>823607.5</v>
      </c>
      <c r="G86" s="65">
        <f>'Vogel 5812'!G18</f>
        <v>48000</v>
      </c>
    </row>
    <row r="87" spans="2:7" ht="15" thickBot="1" x14ac:dyDescent="0.35">
      <c r="B87" s="40">
        <v>3</v>
      </c>
      <c r="C87" s="37" t="s">
        <v>200</v>
      </c>
      <c r="D87" s="54" t="s">
        <v>202</v>
      </c>
      <c r="E87" s="75">
        <f>'Vogel 7351'!E16</f>
        <v>1596833.3</v>
      </c>
      <c r="F87" s="64">
        <f>'Vogel 7351'!F16</f>
        <v>1552833.3</v>
      </c>
      <c r="G87" s="65">
        <f>'Vogel 7351'!G16</f>
        <v>44000</v>
      </c>
    </row>
    <row r="88" spans="2:7" ht="16.8" thickBot="1" x14ac:dyDescent="0.35">
      <c r="B88" s="96" t="s">
        <v>224</v>
      </c>
      <c r="C88" s="97"/>
      <c r="D88" s="98"/>
      <c r="E88" s="72"/>
      <c r="F88" s="72"/>
      <c r="G88" s="73"/>
    </row>
    <row r="89" spans="2:7" x14ac:dyDescent="0.3">
      <c r="B89" s="41">
        <v>1</v>
      </c>
      <c r="C89" s="35" t="s">
        <v>203</v>
      </c>
      <c r="D89" s="53" t="s">
        <v>205</v>
      </c>
      <c r="E89" s="75">
        <f>'W 210'!E24</f>
        <v>1910737.2</v>
      </c>
      <c r="F89" s="64">
        <f>'W 210'!F24</f>
        <v>1539937.2</v>
      </c>
      <c r="G89" s="65">
        <f>'W 210'!G24</f>
        <v>370800</v>
      </c>
    </row>
    <row r="90" spans="2:7" ht="28.8" x14ac:dyDescent="0.3">
      <c r="B90" s="42">
        <v>2</v>
      </c>
      <c r="C90" s="25" t="s">
        <v>206</v>
      </c>
      <c r="D90" s="50" t="s">
        <v>208</v>
      </c>
      <c r="E90" s="75">
        <f>'W 200'!E23</f>
        <v>3598661.5</v>
      </c>
      <c r="F90" s="64">
        <f>'W 200'!F23</f>
        <v>3391593.5</v>
      </c>
      <c r="G90" s="65">
        <f>'W 200'!G23</f>
        <v>207068</v>
      </c>
    </row>
    <row r="91" spans="2:7" x14ac:dyDescent="0.3">
      <c r="B91" s="42">
        <v>4</v>
      </c>
      <c r="C91" s="32"/>
      <c r="D91" s="60" t="s">
        <v>211</v>
      </c>
      <c r="E91" s="75">
        <f>'CAT 8497'!E11</f>
        <v>2794250</v>
      </c>
      <c r="F91" s="64">
        <f>'CAT 8497'!F11</f>
        <v>2794250</v>
      </c>
      <c r="G91" s="65">
        <f>'CAT 8497'!G11</f>
        <v>0</v>
      </c>
    </row>
    <row r="92" spans="2:7" ht="15" thickBot="1" x14ac:dyDescent="0.35">
      <c r="B92" s="44">
        <v>5</v>
      </c>
      <c r="C92" s="45" t="s">
        <v>212</v>
      </c>
      <c r="D92" s="51" t="s">
        <v>211</v>
      </c>
      <c r="E92" s="66">
        <f>'CAT 6778'!E11</f>
        <v>0</v>
      </c>
      <c r="F92" s="66">
        <f>'CAT 6778'!F11</f>
        <v>0</v>
      </c>
      <c r="G92" s="67">
        <f>'CAT 6778'!G11</f>
        <v>0</v>
      </c>
    </row>
    <row r="93" spans="2:7" ht="34.200000000000003" customHeight="1" thickBot="1" x14ac:dyDescent="0.35">
      <c r="B93" s="94" t="s">
        <v>234</v>
      </c>
      <c r="C93" s="95"/>
      <c r="D93" s="95"/>
      <c r="E93" s="69">
        <f>SUM(E4:E92)</f>
        <v>24794854.280000001</v>
      </c>
      <c r="F93" s="69">
        <f>SUM(F4:F92)</f>
        <v>19181885.280000001</v>
      </c>
      <c r="G93" s="69">
        <f>SUM(G4:G92)</f>
        <v>5645969</v>
      </c>
    </row>
  </sheetData>
  <mergeCells count="17">
    <mergeCell ref="B13:D13"/>
    <mergeCell ref="B26:D26"/>
    <mergeCell ref="B30:D30"/>
    <mergeCell ref="B2:D2"/>
    <mergeCell ref="E2:G2"/>
    <mergeCell ref="B3:D3"/>
    <mergeCell ref="B93:D93"/>
    <mergeCell ref="B59:D59"/>
    <mergeCell ref="B65:D65"/>
    <mergeCell ref="B74:D74"/>
    <mergeCell ref="B84:D84"/>
    <mergeCell ref="B88:D88"/>
    <mergeCell ref="B34:D34"/>
    <mergeCell ref="B45:D45"/>
    <mergeCell ref="B48:D48"/>
    <mergeCell ref="B52:D52"/>
    <mergeCell ref="B56:D56"/>
  </mergeCells>
  <hyperlinks>
    <hyperlink ref="D4" location="нива!A1" display="LADA  4X4 " xr:uid="{59577D21-CA67-4ECE-8D16-9C9B27D0D52D}"/>
    <hyperlink ref="D5" location="шкода!A1" display="SKODA Octavia " xr:uid="{2116C16A-A177-43A6-9925-0600A8F79C65}"/>
    <hyperlink ref="D6" location="Camry!A1" display=" TOYOTA Camry  " xr:uid="{A9AC76E3-1BA9-40BE-81C6-844B9DB02377}"/>
    <hyperlink ref="D7" location="ЛК002!A1" display=" TOYOTA LAND CRUISER 200  " xr:uid="{54B8C5FD-9908-47DD-A799-A344D2C578BD}"/>
    <hyperlink ref="D8" location="Geely!A1" display="GEELY MONJARO " xr:uid="{A66B9415-9347-4A17-B3BA-83EE49895EEB}"/>
    <hyperlink ref="D9" location="Haval!A1" display="HAVAL DARGO " xr:uid="{D3B60340-0FDB-43FE-8132-CBDF1E239C55}"/>
    <hyperlink ref="D10" location="'LR-RR '!A1" display="Land Rover RANGE ROVER" xr:uid="{981EDC9D-43FF-4F9C-BFD4-735CE5A509C7}"/>
    <hyperlink ref="D11" location="'VW '!A1" display="Volkswagen CADDY" xr:uid="{B1C0264C-2B0E-4AFD-BB48-C6A58285A420}"/>
    <hyperlink ref="D12" location="Kia!A1" display="Kia Sportage" xr:uid="{0A83CE9E-65A1-4DBF-8E30-0A34CECE709B}"/>
    <hyperlink ref="D14" location="'Г 789'!A1" display="ГАЗ А22R32  (грузовой бортовой)" xr:uid="{96214F43-F47A-4715-A1E8-5E143582FDCD}"/>
    <hyperlink ref="D15" location="'Г 171'!A1" display="ГАЗ-А22R32 Платформа с каркасом и тентом" xr:uid="{0A031C11-7572-4FA7-9BD4-27259F87E6DB}"/>
    <hyperlink ref="D16" location="'Г 456'!A1" display="ГАЗ-A22R32 (грузовой с ботром)" xr:uid="{E3C5D1A1-400B-4010-B08C-F68A7FF603F2}"/>
    <hyperlink ref="D17" location="'Г 900'!A1" display="Газель GAZelle NEXT" xr:uid="{3294FE62-3253-44C9-8C4E-27213521F441}"/>
    <hyperlink ref="D18" location="'Г 189'!A1" display="ГАЗ 2705 (грузовой цельнометалический 6 п/мест)" xr:uid="{B3E984EF-98EB-475F-99EE-9604BA4E44A8}"/>
    <hyperlink ref="D19" location="'Г 982'!A1" display="ГАЗ 2705 грузовой фургон" xr:uid="{ADC81858-05F9-45FA-A971-608AAF0F04BD}"/>
    <hyperlink ref="D20" location="'Г 503'!A1" display="ГАЗ-А22R32  (грузовой бортовой)" xr:uid="{E9C1A9EC-C717-44BC-A1D7-EB8EA28D077A}"/>
    <hyperlink ref="D21" location="'Г 035'!A1" display="278865 (бортовая платформа)" xr:uid="{39EB351A-B84A-4820-8907-8941124F3E03}"/>
    <hyperlink ref="D22" location="'FT 479'!A1" display="Ford Transit (техпомощь)" xr:uid="{54CBBD53-B745-4E73-B746-027E39043245}"/>
    <hyperlink ref="D23" location="'FT 978'!A1" display="Ford Transit 22278С (авт-ль грузопассажирский)" xr:uid="{0124ABDE-DD39-46FA-A52E-90142FAB05D4}"/>
    <hyperlink ref="D24" location="'FT 335'!A1" display="Ford Transit 3227AR двойная кабина (БОРТОВАЯ ПЛАТФОРМА)" xr:uid="{17D6E612-7FAC-49DF-AE1E-E6E24E3C0EC8}"/>
    <hyperlink ref="D25" location="'FT 344'!A1" display="Ford Transit 3227AR двойная кабина  " xr:uid="{4C7E0817-A99A-44ED-B9D7-3FC3AA51DA35}"/>
    <hyperlink ref="D27" location="'Г 908'!A1" display="Газель GAZellIe NN " xr:uid="{4E358B72-3DCD-4B2F-B757-175A0037AC87}"/>
    <hyperlink ref="D28" location="'FT 680'!A1" display="Ford Transit " xr:uid="{C54CC532-EDE9-4DEC-B20A-20EFAD8EDDAF}"/>
    <hyperlink ref="D29" location="'FT 390'!A1" display="FORD Transit (Автобус)" xr:uid="{6A9A6FFA-8CE4-463E-9DDE-85EF9DD986BD}"/>
    <hyperlink ref="D31" location="Foton!A1" display="Специальный, грузовой бортовой оснащенный краном-манипулятором TH-T13 FOTON 3006A7Н " xr:uid="{1FBA112B-4D1C-4509-9678-47848AA79ECB}"/>
    <hyperlink ref="D32" location="КО!A1" display="Специальная Комбинированная дорожная машина КО-806-01 " xr:uid="{6EC28B3C-D326-43B5-9397-E43AFE443541}"/>
    <hyperlink ref="D33" location="Гудронатор!A1" display="Специальный Автогудронатор РЕГИОН 45 АС-С41R " xr:uid="{6BA70372-E8FC-44DE-837D-F0635EA6E257}"/>
    <hyperlink ref="D35" location="'К 877'!A1" display="Автосамосвал КАМАЗ К3340 6520-53  " xr:uid="{0A9DD1FC-67DC-4FFF-A58E-AF25A55DEF20}"/>
    <hyperlink ref="D36" location="'К 927'!A1" display="Автосамосвал КАМАЗ К3340 6520-53  " xr:uid="{E2E5C84B-90B4-44FC-9EA4-392D2EA77329}"/>
    <hyperlink ref="D37" location="'К 983'!A1" display="Автосамосвал КАМАЗ К3340 6520-53 " xr:uid="{0590CF5B-16CA-4C88-B99C-5DB9E6C3297C}"/>
    <hyperlink ref="D38" location="'К 994'!A1" display="Автосамосвал КАМАЗ К3340 6520-53 " xr:uid="{F7A945D0-CAF5-4F81-996B-BCCC87DAFB2D}"/>
    <hyperlink ref="D39" location="'К 487'!A1" display="Автосамосвал КАМАЗ К3340 6520-53" xr:uid="{DCADF886-34FC-41D2-A0FA-30FF87D5AB21}"/>
    <hyperlink ref="D40" location="'SH 152'!A1" display="Самосвал SHACMAN SX3256DR384" xr:uid="{71F28350-A40E-4DE6-88E6-5CDDA8F304D0}"/>
    <hyperlink ref="D41" location="'К 320'!A1" display="Самосвал SHACMAN SX3256DR384   " xr:uid="{F2C47570-59CE-459E-A927-FE2DCC7D7378}"/>
    <hyperlink ref="D42" location="'SH 287'!A1" display="Самосвал SHACMAN SX3256DR384" xr:uid="{E34A40A2-C5E5-4CFC-9625-7140EBC08363}"/>
    <hyperlink ref="D43" location="'SH 265'!A1" display="Самосвал SHACMAN SX3256DR384" xr:uid="{07B808A4-F2DF-48E9-88B6-E8963B0C1521}"/>
    <hyperlink ref="D44" location="'SH 989'!A1" display="Самосвал SHACMAN SX3255DR384" xr:uid="{904082F3-70FD-4BBB-9E25-6BF157996920}"/>
    <hyperlink ref="D46" location="Sitrak!A1" display="Sitrak C7H ZZ4186V361HE " xr:uid="{20CB5841-4BFD-4AF5-8D30-FB1EF23DD243}"/>
    <hyperlink ref="D47" location="Scania!A1" display="SCANIA Р400 СА6Х4НSZ Грузовой тягач седельный " xr:uid="{5FDC1E5F-BEA4-4749-B472-81B4CE78FF06}"/>
    <hyperlink ref="D49" location="Specpricep!A1" display="Specpricep 9942L3 специализированный полуприцеп тяжеловоз" xr:uid="{A1C8D55D-3B09-414A-AB8B-4D44F66F87C9}"/>
    <hyperlink ref="D50" location="Sinanli!A1" display="ПРИЦЕП Sinanli Tanker ST4FLF " xr:uid="{A262C4E6-EEFC-475C-BF7F-39587713F820}"/>
    <hyperlink ref="D53" location="'Ensign 8102'!A1" display="Погрузчик фронтальный  ENSIGN  YX635" xr:uid="{2CDEB555-1CCF-4CD4-9CAE-80D245A47C3A}"/>
    <hyperlink ref="D54" location="'Ensign 8101'!A1" display="Погрузчик фронтальный  ENSIGN  YX635" xr:uid="{AD13CD16-A53B-43BC-9DA8-D0B6776BDFA1}"/>
    <hyperlink ref="D55" location="XCMG!A1" display="Фронтальный погручик XCMG ZL3OGV XCMG " xr:uid="{9213DE73-C3B6-416C-A4C5-D6C317799E1A}"/>
    <hyperlink ref="D57" location="'Case 4294'!A1" display="Погрузчик фронтальный CASE SR220 " xr:uid="{E0D5BBC8-AB03-4F65-860B-632D4C0F3819}"/>
    <hyperlink ref="D58" location="'Case 7010'!A1" display="Колесный мини-погрузчик CASE SR200B " xr:uid="{398B0852-3F3C-4E5E-A9FB-D41C4A066DB1}"/>
    <hyperlink ref="D60" location="'Case 580'!A1" display="Экскаватор погрузчик Case 580Т  " xr:uid="{7D429AF9-BA7D-45D4-919E-82C93BEF7DFA}"/>
    <hyperlink ref="D61" location="'Case 570'!A1" display="Экскаватор погрузчик Case 570SТ  " xr:uid="{89325EE7-D0B4-4015-AE1A-F8F92B65382A}"/>
    <hyperlink ref="D62" location="'CAT 428'!A1" display="Экскаватор-погрузчик Caterpillar 428 " xr:uid="{779E2D7A-9FC8-41C3-8382-853480494E66}"/>
    <hyperlink ref="D63" location="'CAT 432'!A1" display="Экскаватор-погрузчик Caterpillar 432F2" xr:uid="{51C408CA-9872-4AD3-8F94-4B7578488063}"/>
    <hyperlink ref="D64" location="'МТЗ 82'!A1" display="МУП-351.ТСТ машина для коммунального хозяйства   " xr:uid="{1CFBF8A5-6310-414D-8C98-F32C01BD38C7}"/>
    <hyperlink ref="D66" location="'Sanny 55'!A1" display="Гусеничный экскаватор SANY,SY55C  " xr:uid="{FFAD5EE4-4C25-4D0B-8353-46EB1E6EB7B7}"/>
    <hyperlink ref="D67" location="'Sanny 75'!A1" display="Гусеничный экскаватор SANYSY75C  " xr:uid="{E9CDC7F7-40FF-41C3-80D6-2B50F59EC735}"/>
    <hyperlink ref="D68" location="'Sanny 9524'!A1" display="Колесный экскаватор SANY,SY155W (158) " xr:uid="{BEE219F4-4FC6-4579-BA4E-DBF2A916A815}"/>
    <hyperlink ref="D69" location="'Sanny 9525'!A1" display="Колесный экскаватор SANY,SY155W(368) " xr:uid="{1A567BD2-8A51-4F10-B68E-AEA096E9BC5D}"/>
    <hyperlink ref="D70" location="'Sanny 6820'!A1" display="Экскаватор SANY,SY155W " xr:uid="{C984CAC2-BDC2-4759-BFFA-287109AB023F}"/>
    <hyperlink ref="D71" location="'Sanny 7013'!A1" display="Самоходная машина SANY SY155W  " xr:uid="{7F9DB313-8089-4394-A15C-1686126C664B}"/>
    <hyperlink ref="D72" location="'CAT 318'!A1" display="Экскаватор Caterpiliar Inc.318CL " xr:uid="{DE9A396B-95C7-46C2-B60D-BA74E4B4F159}"/>
    <hyperlink ref="D75" location="Liugong!A1" display="Каток вибрационный LIUGONG CLG6614E  " xr:uid="{AD9CEC53-E95C-4E7D-A626-3105FA9D0EA7}"/>
    <hyperlink ref="D76" location="'Amann 7057'!A1" display="Каток дорожный AMMANN ARX45-2" xr:uid="{56ED8F1B-90DA-4D39-9C18-2EC8ED51F270}"/>
    <hyperlink ref="D77" location="'Ammann 7011'!A1" display="Каток дорожный AMMANN ARX45-2" xr:uid="{24FFD4F6-9945-460C-AF85-43B8B440EE6D}"/>
    <hyperlink ref="D78" location="'Hamm 4698'!A1" display="Каток дорожный HD110 HAMM AG " xr:uid="{9F6DE707-9022-462B-B300-E3CE7E9DE5F4}"/>
    <hyperlink ref="D79" location="'ZDM 9579'!A1" display="Каток дорожный самоходный ZDM DM-10-VD " xr:uid="{BCFF116D-6763-4E18-BA37-7F769DCD8CDA}"/>
    <hyperlink ref="D80" location="'ZDM 9580'!A1" display="Каток дорожный самоходный ZDM ZDM-10-VC  " xr:uid="{D10A3150-4A30-44AA-A23F-F29669E244C3}"/>
    <hyperlink ref="D82" location="'Hamm 4897'!A1" display="СМ КАТОК HAMM HD 090V  " xr:uid="{AEE284F2-5B82-4A35-8624-2508EE91176D}"/>
    <hyperlink ref="D81" location="'Ammann 4897'!A1" display="каток дорожный самоходный вибрационный AMMANN, ARX 26 К  " xr:uid="{EBF5EBE4-0B7C-4517-8C55-F9897E7ADDF6}"/>
    <hyperlink ref="D83" location="'BW 161'!A1" display="СМ КАТОК Дорожный BW 161 AD-4  " xr:uid="{13E63013-058B-41BC-8398-6A7C324E9EF2}"/>
    <hyperlink ref="D85" location="'Vogel 6821'!A1" display="Асфальтоукладчик VOGEL SUPER 1900-2  6 метр " xr:uid="{7E91B232-BEB0-485F-8D4F-E61959B2060B}"/>
    <hyperlink ref="D86" location="'Vogel 5812'!A1" display="Асфальтоукладчик VOGEL SUPER 1900-2/1  5 метр " xr:uid="{BFA8F729-C16B-4D73-966A-A1D38624E277}"/>
    <hyperlink ref="D87" location="'Vogel 7351'!A1" display="Асфальтоукладчик VOGEL SUPER 1300 2" xr:uid="{AAF2AB48-09BF-4962-96A0-829330F0AB6A}"/>
    <hyperlink ref="D89" location="'W 210'!A1" display="Фреза дорожная WIRTGEN W210  " xr:uid="{2072C8FF-64F3-487D-B28E-1C971A323FA7}"/>
    <hyperlink ref="D90" location="'W 200'!A1" display="Холодная дорожная Фреза WIRTGEN W200  " xr:uid="{D93C6604-F000-4714-A92A-5DBDF804B2F4}"/>
    <hyperlink ref="D91" location="'CAT 8497'!A1" display="Caterpillar PM620" xr:uid="{0E0E7745-53C4-4207-871B-DDA8AFFDFB09}"/>
    <hyperlink ref="D92" location="'CAT 6778'!A1" display="Caterpillar PM620" xr:uid="{5B462762-E7E9-4AAA-9D13-B82EC803775E}"/>
    <hyperlink ref="D73" location="'Sanny 330'!A1" display="'Sanny 330'!A1" xr:uid="{110D29C1-F379-415B-A14D-3562CF429790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A999-5D5C-41B6-8B64-201A4C3CC3E1}">
  <sheetPr>
    <tabColor theme="4" tint="0.79998168889431442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19.5546875" style="2" customWidth="1"/>
    <col min="4" max="4" width="21.88671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2" spans="1:16" ht="15" thickBot="1" x14ac:dyDescent="0.35"/>
    <row r="3" spans="1:16" ht="21.6" customHeight="1" x14ac:dyDescent="0.3">
      <c r="B3" s="10" t="s">
        <v>11</v>
      </c>
      <c r="C3" s="11" t="s">
        <v>12</v>
      </c>
      <c r="D3" s="12" t="s">
        <v>13</v>
      </c>
      <c r="E3" s="11">
        <v>2023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 t="shared" ref="E6:E11" si="0"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 t="shared" si="0"/>
        <v>0</v>
      </c>
      <c r="F7" s="7"/>
      <c r="G7" s="7"/>
    </row>
    <row r="8" spans="1:16" x14ac:dyDescent="0.3">
      <c r="A8" s="6"/>
      <c r="B8" s="6"/>
      <c r="C8" s="6"/>
      <c r="D8" s="6"/>
      <c r="E8" s="7">
        <f t="shared" si="0"/>
        <v>0</v>
      </c>
      <c r="F8" s="7"/>
      <c r="G8" s="7"/>
    </row>
    <row r="9" spans="1:16" x14ac:dyDescent="0.3">
      <c r="A9" s="6"/>
      <c r="B9" s="6"/>
      <c r="C9" s="6"/>
      <c r="D9" s="6"/>
      <c r="E9" s="7">
        <f t="shared" si="0"/>
        <v>0</v>
      </c>
      <c r="F9" s="7"/>
      <c r="G9" s="7"/>
    </row>
    <row r="10" spans="1:16" x14ac:dyDescent="0.3">
      <c r="A10" s="6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 t="shared" si="0"/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4FE2639B-5BEA-4D68-8E98-B30E3ACA7C49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F884-953A-4282-B4D6-B0AEE731888E}">
  <sheetPr>
    <tabColor theme="4" tint="0.7999816888943144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1.88671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3" t="s">
        <v>14</v>
      </c>
      <c r="C3" s="14" t="s">
        <v>15</v>
      </c>
      <c r="D3" s="15" t="s">
        <v>16</v>
      </c>
      <c r="E3" s="14">
        <v>2021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46066</v>
      </c>
      <c r="B6" s="6">
        <v>2030976</v>
      </c>
      <c r="C6" s="6" t="s">
        <v>269</v>
      </c>
      <c r="D6" s="6" t="s">
        <v>270</v>
      </c>
      <c r="E6" s="7">
        <f t="shared" ref="E6:E11" si="0">SUM(F6:G6)</f>
        <v>16350</v>
      </c>
      <c r="F6" s="7">
        <v>10750</v>
      </c>
      <c r="G6" s="7">
        <v>5600</v>
      </c>
    </row>
    <row r="7" spans="1:16" x14ac:dyDescent="0.3">
      <c r="A7" s="5"/>
      <c r="B7" s="6"/>
      <c r="C7" s="6"/>
      <c r="D7" s="6"/>
      <c r="E7" s="7">
        <f t="shared" si="0"/>
        <v>0</v>
      </c>
      <c r="F7" s="7"/>
      <c r="G7" s="7"/>
    </row>
    <row r="8" spans="1:16" x14ac:dyDescent="0.3">
      <c r="A8" s="6"/>
      <c r="B8" s="6"/>
      <c r="C8" s="6"/>
      <c r="D8" s="6"/>
      <c r="E8" s="7">
        <f t="shared" si="0"/>
        <v>0</v>
      </c>
      <c r="F8" s="7"/>
      <c r="G8" s="7"/>
    </row>
    <row r="9" spans="1:16" x14ac:dyDescent="0.3">
      <c r="A9" s="6"/>
      <c r="B9" s="6"/>
      <c r="C9" s="6"/>
      <c r="D9" s="6"/>
      <c r="E9" s="7">
        <f t="shared" si="0"/>
        <v>0</v>
      </c>
      <c r="F9" s="7"/>
      <c r="G9" s="7"/>
    </row>
    <row r="10" spans="1:16" x14ac:dyDescent="0.3">
      <c r="A10" s="6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 t="shared" si="0"/>
        <v>16350</v>
      </c>
      <c r="F11" s="9">
        <f>SUM(F6:F10)</f>
        <v>10750</v>
      </c>
      <c r="G11" s="9">
        <f>SUM(G6:G10)</f>
        <v>5600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7D5E3429-3514-436F-B0C2-077DEA550DEC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14C1-11EB-476C-BFF4-022C190DC3EB}">
  <sheetPr>
    <tabColor theme="4" tint="0.79998168889431442"/>
  </sheetPr>
  <dimension ref="A1:P24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1.88671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38" t="s">
        <v>215</v>
      </c>
      <c r="C3" s="38" t="s">
        <v>216</v>
      </c>
      <c r="D3" s="39" t="s">
        <v>217</v>
      </c>
      <c r="E3" s="38">
        <v>2017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45701</v>
      </c>
      <c r="B6" s="6" t="s">
        <v>288</v>
      </c>
      <c r="C6" s="6" t="s">
        <v>269</v>
      </c>
      <c r="D6" s="6" t="s">
        <v>289</v>
      </c>
      <c r="E6" s="7">
        <f t="shared" ref="E6:E12" si="0">SUM(F6:G6)</f>
        <v>200290</v>
      </c>
      <c r="F6" s="7">
        <v>99350</v>
      </c>
      <c r="G6" s="7">
        <v>100940</v>
      </c>
    </row>
    <row r="7" spans="1:16" x14ac:dyDescent="0.3">
      <c r="A7" s="5"/>
      <c r="B7" s="6"/>
      <c r="C7" s="6"/>
      <c r="D7" s="6"/>
      <c r="E7" s="7">
        <f t="shared" si="0"/>
        <v>0</v>
      </c>
      <c r="F7" s="7"/>
      <c r="G7" s="7"/>
    </row>
    <row r="8" spans="1:16" x14ac:dyDescent="0.3">
      <c r="A8" s="6"/>
      <c r="B8" s="6"/>
      <c r="C8" s="6"/>
      <c r="D8" s="6"/>
      <c r="E8" s="7">
        <f t="shared" si="0"/>
        <v>0</v>
      </c>
      <c r="F8" s="7"/>
      <c r="G8" s="7"/>
    </row>
    <row r="9" spans="1:16" x14ac:dyDescent="0.3">
      <c r="A9" s="6"/>
      <c r="B9" s="6"/>
      <c r="C9" s="6"/>
      <c r="D9" s="6"/>
      <c r="E9" s="7">
        <f t="shared" si="0"/>
        <v>0</v>
      </c>
      <c r="F9" s="7"/>
      <c r="G9" s="7"/>
    </row>
    <row r="10" spans="1:16" x14ac:dyDescent="0.3">
      <c r="A10" s="6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6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106" t="s">
        <v>10</v>
      </c>
      <c r="B12" s="106"/>
      <c r="C12" s="106"/>
      <c r="D12" s="8"/>
      <c r="E12" s="9">
        <f t="shared" si="0"/>
        <v>200290</v>
      </c>
      <c r="F12" s="9">
        <f>SUM(F6:F11)</f>
        <v>99350</v>
      </c>
      <c r="G12" s="9">
        <f>SUM(G6:G11)</f>
        <v>100940</v>
      </c>
    </row>
    <row r="24" spans="3:3" s="2" customFormat="1" ht="13.8" x14ac:dyDescent="0.25">
      <c r="C24" s="28"/>
    </row>
  </sheetData>
  <mergeCells count="2">
    <mergeCell ref="A12:C12"/>
    <mergeCell ref="A1:B1"/>
  </mergeCells>
  <hyperlinks>
    <hyperlink ref="A1" location="Содержание!A1" display="Содержание!A1" xr:uid="{FC9823EA-6CF8-47A4-8DDA-E1BBF93C2A7E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3779-EB92-4F0F-8293-6552AA2522E6}">
  <sheetPr>
    <tabColor theme="4" tint="0.7999816888943144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1.88671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3" t="s">
        <v>17</v>
      </c>
      <c r="C3" s="14" t="s">
        <v>18</v>
      </c>
      <c r="D3" s="15" t="s">
        <v>19</v>
      </c>
      <c r="E3" s="14">
        <v>2019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45693</v>
      </c>
      <c r="B6" s="6" t="s">
        <v>268</v>
      </c>
      <c r="C6" s="6" t="s">
        <v>269</v>
      </c>
      <c r="D6" s="6" t="s">
        <v>270</v>
      </c>
      <c r="E6" s="7">
        <f t="shared" ref="E6:E11" si="0">SUM(F6:G6)</f>
        <v>26900</v>
      </c>
      <c r="F6" s="7">
        <v>26900</v>
      </c>
      <c r="G6" s="7"/>
    </row>
    <row r="7" spans="1:16" x14ac:dyDescent="0.3">
      <c r="A7" s="5"/>
      <c r="B7" s="6"/>
      <c r="C7" s="6"/>
      <c r="D7" s="6"/>
      <c r="E7" s="7">
        <f t="shared" si="0"/>
        <v>0</v>
      </c>
      <c r="F7" s="7"/>
      <c r="G7" s="7"/>
    </row>
    <row r="8" spans="1:16" x14ac:dyDescent="0.3">
      <c r="A8" s="6"/>
      <c r="B8" s="6"/>
      <c r="C8" s="6"/>
      <c r="D8" s="6"/>
      <c r="E8" s="7">
        <f t="shared" si="0"/>
        <v>0</v>
      </c>
      <c r="F8" s="7"/>
      <c r="G8" s="7"/>
    </row>
    <row r="9" spans="1:16" x14ac:dyDescent="0.3">
      <c r="A9" s="6"/>
      <c r="B9" s="6"/>
      <c r="C9" s="6"/>
      <c r="D9" s="6"/>
      <c r="E9" s="7">
        <f t="shared" si="0"/>
        <v>0</v>
      </c>
      <c r="F9" s="7"/>
      <c r="G9" s="7"/>
    </row>
    <row r="10" spans="1:16" x14ac:dyDescent="0.3">
      <c r="A10" s="6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 t="shared" si="0"/>
        <v>26900</v>
      </c>
      <c r="F11" s="9">
        <f>SUM(F6:F10)</f>
        <v>26900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AE420946-D32E-4208-8440-3BE90FAB6CB6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D32F-D84B-4361-AB1F-C42A7279AB73}">
  <sheetPr>
    <tabColor theme="4" tint="0.79998168889431442"/>
  </sheetPr>
  <dimension ref="A1:P23"/>
  <sheetViews>
    <sheetView workbookViewId="0">
      <selection activeCell="G7" sqref="F7:G8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1.88671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3" t="s">
        <v>20</v>
      </c>
      <c r="C3" s="14" t="s">
        <v>21</v>
      </c>
      <c r="D3" s="15" t="s">
        <v>22</v>
      </c>
      <c r="E3" s="14">
        <v>2023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0F42BCA5-0004-464F-9073-140E50FECD9F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D463-335A-45EC-90B8-97B2F75BCAD8}">
  <sheetPr>
    <tabColor theme="4" tint="0.7999816888943144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1.88671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7" t="s">
        <v>23</v>
      </c>
      <c r="C3" s="16" t="s">
        <v>24</v>
      </c>
      <c r="D3" s="18" t="s">
        <v>25</v>
      </c>
      <c r="E3" s="16">
        <v>2023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45685</v>
      </c>
      <c r="B6" s="6" t="s">
        <v>271</v>
      </c>
      <c r="C6" s="6" t="s">
        <v>272</v>
      </c>
      <c r="D6" s="6" t="s">
        <v>270</v>
      </c>
      <c r="E6" s="7">
        <f>SUM(F6:G6)</f>
        <v>42370</v>
      </c>
      <c r="F6" s="7">
        <v>36630</v>
      </c>
      <c r="G6" s="7">
        <v>5740</v>
      </c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42370</v>
      </c>
      <c r="F11" s="9">
        <f>SUM(F6:F10)</f>
        <v>36630</v>
      </c>
      <c r="G11" s="9">
        <f>SUM(G6:G10)</f>
        <v>5740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F0CCFB3F-855D-408D-B986-1F3610E6AA95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8561-8C73-45A3-B1D5-0ECF9F10498C}">
  <sheetPr>
    <tabColor theme="4" tint="0.79998168889431442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9" t="s">
        <v>26</v>
      </c>
      <c r="C3" s="20" t="s">
        <v>27</v>
      </c>
      <c r="D3" s="21" t="s">
        <v>28</v>
      </c>
      <c r="E3" s="20">
        <v>2015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38993C8A-2876-44E4-B4CE-AA47E6F75EA0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ACF1-3198-45B0-9A1D-B85281D04EA7}">
  <sheetPr>
    <tabColor theme="4" tint="0.7999816888943144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9" t="s">
        <v>29</v>
      </c>
      <c r="C3" s="20" t="s">
        <v>30</v>
      </c>
      <c r="D3" s="20" t="s">
        <v>31</v>
      </c>
      <c r="E3" s="20"/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45678</v>
      </c>
      <c r="B6" s="6" t="s">
        <v>247</v>
      </c>
      <c r="C6" s="6" t="s">
        <v>248</v>
      </c>
      <c r="D6" s="6" t="s">
        <v>249</v>
      </c>
      <c r="E6" s="7">
        <f>SUM(F6:G6)</f>
        <v>92520</v>
      </c>
      <c r="F6" s="7">
        <v>79220</v>
      </c>
      <c r="G6" s="7">
        <v>13300</v>
      </c>
    </row>
    <row r="7" spans="1:16" x14ac:dyDescent="0.3">
      <c r="A7" s="5">
        <v>46066</v>
      </c>
      <c r="B7" s="6" t="s">
        <v>352</v>
      </c>
      <c r="C7" s="6" t="s">
        <v>248</v>
      </c>
      <c r="D7" s="6" t="s">
        <v>249</v>
      </c>
      <c r="E7" s="7">
        <f>SUM(F7:G7)</f>
        <v>44780</v>
      </c>
      <c r="F7" s="7">
        <v>27280</v>
      </c>
      <c r="G7" s="7">
        <v>17500</v>
      </c>
    </row>
    <row r="8" spans="1:16" x14ac:dyDescent="0.3">
      <c r="A8" s="5">
        <v>46099</v>
      </c>
      <c r="B8" s="6">
        <v>17620012410</v>
      </c>
      <c r="C8" s="6" t="s">
        <v>439</v>
      </c>
      <c r="D8" s="6" t="s">
        <v>440</v>
      </c>
      <c r="E8" s="7">
        <f>SUM(F8:G8)</f>
        <v>25921</v>
      </c>
      <c r="F8" s="7"/>
      <c r="G8" s="7">
        <v>25921</v>
      </c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163221</v>
      </c>
      <c r="F11" s="9">
        <f>SUM(F6:F10)</f>
        <v>106500</v>
      </c>
      <c r="G11" s="9">
        <f>SUM(G6:G10)</f>
        <v>56721</v>
      </c>
    </row>
    <row r="23" spans="3:3" x14ac:dyDescent="0.3">
      <c r="C23" s="28"/>
    </row>
  </sheetData>
  <mergeCells count="2">
    <mergeCell ref="A11:C11"/>
    <mergeCell ref="A1:B1"/>
  </mergeCells>
  <phoneticPr fontId="16" type="noConversion"/>
  <hyperlinks>
    <hyperlink ref="A1" location="Содержание!A1" display="Содержание!A1" xr:uid="{484DB54D-3EF5-4799-90FE-C2C0F21BD06D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A0E2-9584-4B84-80D4-5F699DB76308}">
  <sheetPr>
    <tabColor theme="4" tint="0.79998168889431442"/>
  </sheetPr>
  <dimension ref="A1:P23"/>
  <sheetViews>
    <sheetView topLeftCell="C1" workbookViewId="0">
      <selection activeCell="D21" sqref="D2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thickBot="1" x14ac:dyDescent="0.35">
      <c r="B3" s="22" t="s">
        <v>32</v>
      </c>
      <c r="C3" s="22" t="s">
        <v>33</v>
      </c>
      <c r="D3" s="22" t="s">
        <v>34</v>
      </c>
      <c r="E3" s="22">
        <v>2011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45720</v>
      </c>
      <c r="B6" s="6" t="s">
        <v>302</v>
      </c>
      <c r="C6" s="6" t="s">
        <v>303</v>
      </c>
      <c r="D6" s="6" t="s">
        <v>304</v>
      </c>
      <c r="E6" s="7">
        <f>SUM(F6:G6)</f>
        <v>8336.9</v>
      </c>
      <c r="F6" s="7">
        <v>8336.9</v>
      </c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8336.9</v>
      </c>
      <c r="F11" s="9">
        <f>SUM(F6:F10)</f>
        <v>8336.9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B37990DA-4859-4C1B-8611-01D9158C301C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430B-10D5-4F4E-856D-93B66FA92241}">
  <sheetPr>
    <tabColor rgb="FFFF33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7.5546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26" t="s">
        <v>53</v>
      </c>
      <c r="C3" s="26" t="s">
        <v>54</v>
      </c>
      <c r="D3" s="26" t="s">
        <v>55</v>
      </c>
      <c r="E3" s="26">
        <v>2018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71468C7F-8C12-4082-842E-811E5E03DB2C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A83D-C257-481E-8241-3816E423D527}">
  <sheetPr>
    <tabColor rgb="FFFF33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35</v>
      </c>
      <c r="C3" s="14" t="s">
        <v>36</v>
      </c>
      <c r="D3" s="15" t="s">
        <v>37</v>
      </c>
      <c r="E3" s="14">
        <v>2014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46197</v>
      </c>
      <c r="B6" s="6">
        <v>11</v>
      </c>
      <c r="C6" s="6" t="s">
        <v>350</v>
      </c>
      <c r="D6" s="6" t="s">
        <v>236</v>
      </c>
      <c r="E6" s="7">
        <f>SUM(F6:G6)</f>
        <v>33650</v>
      </c>
      <c r="F6" s="7">
        <v>33650</v>
      </c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33650</v>
      </c>
      <c r="F11" s="9">
        <f>SUM(F6:F10)</f>
        <v>33650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A730C7FD-CFB0-49E3-9C3E-20E8205583F2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EFC0-E04D-4668-B599-9325264FC379}">
  <sheetPr>
    <tabColor rgb="FFFF3300"/>
  </sheetPr>
  <dimension ref="A1:P24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38</v>
      </c>
      <c r="C3" s="14" t="s">
        <v>39</v>
      </c>
      <c r="D3" s="15" t="s">
        <v>40</v>
      </c>
      <c r="E3" s="14">
        <v>2014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46195</v>
      </c>
      <c r="B6" s="6">
        <v>10</v>
      </c>
      <c r="C6" s="6" t="s">
        <v>350</v>
      </c>
      <c r="D6" s="6" t="s">
        <v>537</v>
      </c>
      <c r="E6" s="7">
        <f t="shared" ref="E6:E11" si="0">SUM(F6:G6)</f>
        <v>33400</v>
      </c>
      <c r="F6" s="7">
        <v>33400</v>
      </c>
      <c r="G6" s="7"/>
      <c r="K6" s="2">
        <v>32654654</v>
      </c>
      <c r="L6" s="2">
        <v>25000</v>
      </c>
      <c r="M6" s="2">
        <v>4565461</v>
      </c>
      <c r="N6" s="2">
        <v>26500</v>
      </c>
    </row>
    <row r="7" spans="1:16" x14ac:dyDescent="0.3">
      <c r="A7" s="5"/>
      <c r="B7" s="6"/>
      <c r="C7" s="6"/>
      <c r="D7" s="6"/>
      <c r="E7" s="7">
        <f t="shared" si="0"/>
        <v>0</v>
      </c>
      <c r="F7" s="7"/>
      <c r="G7" s="7"/>
    </row>
    <row r="8" spans="1:16" x14ac:dyDescent="0.3">
      <c r="A8" s="5"/>
      <c r="B8" s="6"/>
      <c r="C8" s="6"/>
      <c r="D8" s="6"/>
      <c r="E8" s="7">
        <f t="shared" si="0"/>
        <v>0</v>
      </c>
      <c r="F8" s="7"/>
      <c r="G8" s="7"/>
    </row>
    <row r="9" spans="1:16" x14ac:dyDescent="0.3">
      <c r="A9" s="6"/>
      <c r="B9" s="6"/>
      <c r="C9" s="6"/>
      <c r="D9" s="6"/>
      <c r="E9" s="7">
        <f t="shared" si="0"/>
        <v>0</v>
      </c>
      <c r="F9" s="7"/>
      <c r="G9" s="7"/>
    </row>
    <row r="10" spans="1:16" x14ac:dyDescent="0.3">
      <c r="A10" s="6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6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106" t="s">
        <v>10</v>
      </c>
      <c r="B12" s="106"/>
      <c r="C12" s="106"/>
      <c r="D12" s="8"/>
      <c r="E12" s="9">
        <f>SUM(E6:E11)</f>
        <v>33400</v>
      </c>
      <c r="F12" s="9">
        <f>SUM(F6:F11)</f>
        <v>33400</v>
      </c>
      <c r="G12" s="9">
        <f>SUM(G6:G11)</f>
        <v>0</v>
      </c>
    </row>
    <row r="24" spans="3:3" x14ac:dyDescent="0.3">
      <c r="C24" s="28"/>
    </row>
  </sheetData>
  <mergeCells count="2">
    <mergeCell ref="A12:C12"/>
    <mergeCell ref="A1:B1"/>
  </mergeCells>
  <hyperlinks>
    <hyperlink ref="A1" location="Содержание!A1" display="Содержание!A1" xr:uid="{F813A8A4-144C-4C2E-8765-F2D5D664F436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B69B-5014-4C51-95BC-AF66DDC45E11}">
  <sheetPr>
    <tabColor rgb="FFFF33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9" t="s">
        <v>44</v>
      </c>
      <c r="C3" s="24" t="s">
        <v>45</v>
      </c>
      <c r="D3" s="15" t="s">
        <v>46</v>
      </c>
      <c r="E3" s="20">
        <v>2011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46064</v>
      </c>
      <c r="B6" s="6" t="s">
        <v>347</v>
      </c>
      <c r="C6" s="6" t="s">
        <v>348</v>
      </c>
      <c r="D6" s="6" t="s">
        <v>349</v>
      </c>
      <c r="E6" s="7">
        <f>SUM(F6:G6)</f>
        <v>11761</v>
      </c>
      <c r="F6" s="7">
        <v>11761</v>
      </c>
      <c r="G6" s="7"/>
    </row>
    <row r="7" spans="1:16" x14ac:dyDescent="0.3">
      <c r="A7" s="5">
        <v>46053</v>
      </c>
      <c r="B7" s="6">
        <v>6</v>
      </c>
      <c r="C7" s="6" t="s">
        <v>350</v>
      </c>
      <c r="D7" s="6" t="s">
        <v>351</v>
      </c>
      <c r="E7" s="7">
        <f>SUM(F7:G7)</f>
        <v>65000</v>
      </c>
      <c r="F7" s="7">
        <v>65000</v>
      </c>
      <c r="G7" s="7"/>
    </row>
    <row r="8" spans="1:16" x14ac:dyDescent="0.3">
      <c r="A8" s="5">
        <v>46077</v>
      </c>
      <c r="B8" s="6" t="s">
        <v>361</v>
      </c>
      <c r="C8" s="6" t="s">
        <v>348</v>
      </c>
      <c r="D8" s="6" t="s">
        <v>364</v>
      </c>
      <c r="E8" s="7">
        <f>SUM(F8:G8)</f>
        <v>27909</v>
      </c>
      <c r="F8" s="7">
        <v>27909</v>
      </c>
      <c r="G8" s="7"/>
    </row>
    <row r="9" spans="1:16" x14ac:dyDescent="0.3">
      <c r="A9" s="5">
        <v>46062</v>
      </c>
      <c r="B9" s="6" t="s">
        <v>365</v>
      </c>
      <c r="C9" s="6" t="s">
        <v>350</v>
      </c>
      <c r="D9" s="6" t="s">
        <v>366</v>
      </c>
      <c r="E9" s="7">
        <f>SUM(F9:G9)</f>
        <v>60000</v>
      </c>
      <c r="F9" s="7">
        <v>60000</v>
      </c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164670</v>
      </c>
      <c r="F11" s="9">
        <f>SUM(F6:F10)</f>
        <v>164670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B917542A-E2EB-4C5E-A6DA-2362C21B036F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B084-BFD2-4CF7-878B-5375A090120F}">
  <sheetPr>
    <tabColor rgb="FFFF3300"/>
  </sheetPr>
  <dimension ref="A1:P23"/>
  <sheetViews>
    <sheetView workbookViewId="0">
      <selection activeCell="D17" sqref="D17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50</v>
      </c>
      <c r="C3" s="14" t="s">
        <v>51</v>
      </c>
      <c r="D3" s="15" t="s">
        <v>52</v>
      </c>
      <c r="E3" s="14">
        <v>2016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45702</v>
      </c>
      <c r="B6" s="6" t="s">
        <v>278</v>
      </c>
      <c r="C6" s="6" t="s">
        <v>279</v>
      </c>
      <c r="D6" s="6" t="s">
        <v>280</v>
      </c>
      <c r="E6" s="7">
        <f>SUM(F6:G6)</f>
        <v>1880</v>
      </c>
      <c r="F6" s="7">
        <v>1880</v>
      </c>
      <c r="G6" s="7"/>
    </row>
    <row r="7" spans="1:16" x14ac:dyDescent="0.3">
      <c r="A7" s="5">
        <v>45714</v>
      </c>
      <c r="B7" s="6">
        <v>456694067</v>
      </c>
      <c r="C7" s="6" t="s">
        <v>293</v>
      </c>
      <c r="D7" s="6" t="s">
        <v>294</v>
      </c>
      <c r="E7" s="7">
        <f>SUM(F7:G7)</f>
        <v>10295.56</v>
      </c>
      <c r="F7" s="7">
        <v>10295.56</v>
      </c>
      <c r="G7" s="7"/>
    </row>
    <row r="8" spans="1:16" x14ac:dyDescent="0.3">
      <c r="A8" s="5">
        <v>45714</v>
      </c>
      <c r="B8" s="6" t="s">
        <v>295</v>
      </c>
      <c r="C8" s="6" t="s">
        <v>279</v>
      </c>
      <c r="D8" s="6" t="s">
        <v>296</v>
      </c>
      <c r="E8" s="7">
        <f>SUM(F8:G8)</f>
        <v>3450</v>
      </c>
      <c r="F8" s="7">
        <v>3450</v>
      </c>
      <c r="G8" s="7"/>
    </row>
    <row r="9" spans="1:16" x14ac:dyDescent="0.3">
      <c r="A9" s="5">
        <v>45781</v>
      </c>
      <c r="B9" s="6">
        <v>143</v>
      </c>
      <c r="C9" s="6" t="s">
        <v>325</v>
      </c>
      <c r="D9" s="6" t="s">
        <v>326</v>
      </c>
      <c r="E9" s="7">
        <f>SUM(F9:G9)</f>
        <v>94463</v>
      </c>
      <c r="F9" s="7">
        <v>31753</v>
      </c>
      <c r="G9" s="7">
        <v>62710</v>
      </c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110088.56</v>
      </c>
      <c r="F11" s="9">
        <f>SUM(F6:F10)</f>
        <v>47378.559999999998</v>
      </c>
      <c r="G11" s="9">
        <f>SUM(G6:G10)</f>
        <v>62710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23930541-1965-48BC-ABDF-5AC872557018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2B78-ED4A-4515-9D51-6C6BEB819E08}">
  <sheetPr>
    <tabColor rgb="FFFF330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2" spans="1:16" ht="15" thickBot="1" x14ac:dyDescent="0.35"/>
    <row r="3" spans="1:16" ht="21.6" customHeight="1" x14ac:dyDescent="0.3">
      <c r="B3" s="11" t="s">
        <v>0</v>
      </c>
      <c r="C3" s="11" t="s">
        <v>1</v>
      </c>
      <c r="D3" s="12" t="s">
        <v>2</v>
      </c>
      <c r="E3" s="11">
        <v>2016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0349BD21-6219-4E20-BDB0-A2F0BD63FDDE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0C3B-8BF3-4AAE-8A1F-C2D696705871}">
  <sheetPr>
    <tabColor rgb="FFFF33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41</v>
      </c>
      <c r="C3" s="14" t="s">
        <v>42</v>
      </c>
      <c r="D3" s="15" t="s">
        <v>43</v>
      </c>
      <c r="E3" s="14">
        <v>2021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528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46169</v>
      </c>
      <c r="B6" s="6">
        <v>40</v>
      </c>
      <c r="C6" s="6" t="s">
        <v>522</v>
      </c>
      <c r="D6" s="6" t="s">
        <v>422</v>
      </c>
      <c r="E6" s="7">
        <f>SUM(F6:G6)</f>
        <v>10000</v>
      </c>
      <c r="F6" s="7"/>
      <c r="G6" s="7">
        <v>10000</v>
      </c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10000</v>
      </c>
      <c r="F11" s="9">
        <f>SUM(F6:F10)</f>
        <v>0</v>
      </c>
      <c r="G11" s="9">
        <f>SUM(G6:G10)</f>
        <v>10000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3D7B168A-E841-4277-AEE3-EDF11E362EC7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410B-07DD-4056-90A0-B48F35F70F27}">
  <sheetPr>
    <tabColor rgb="FFFF3300"/>
  </sheetPr>
  <dimension ref="A1:P23"/>
  <sheetViews>
    <sheetView workbookViewId="0">
      <selection activeCell="E9" sqref="E9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7.5546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71</v>
      </c>
      <c r="C3" s="14" t="s">
        <v>72</v>
      </c>
      <c r="D3" s="15" t="s">
        <v>73</v>
      </c>
      <c r="E3" s="14">
        <v>2021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54450D47-4107-4B6F-A236-34DC102E39E7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C092-FAC4-43C4-A494-9C4A2A656562}">
  <sheetPr>
    <tabColor rgb="FFFF330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9" t="s">
        <v>47</v>
      </c>
      <c r="C3" s="24" t="s">
        <v>48</v>
      </c>
      <c r="D3" s="15" t="s">
        <v>49</v>
      </c>
      <c r="E3" s="20">
        <v>2012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28742383-CC40-4A7F-9BE5-E2AE0E6F795D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352D-CC1F-4FEC-950D-22EEA87E1DB4}">
  <sheetPr>
    <tabColor rgb="FFFF330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62</v>
      </c>
      <c r="C3" s="14" t="s">
        <v>63</v>
      </c>
      <c r="D3" s="15" t="s">
        <v>64</v>
      </c>
      <c r="E3" s="14">
        <v>2019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092C36EA-F163-4207-89CB-2C9DC9573286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72BA-EBAF-4E03-BC7A-F0DCC8C31B3F}">
  <sheetPr>
    <tabColor rgb="FFFF33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65</v>
      </c>
      <c r="C3" s="14" t="s">
        <v>66</v>
      </c>
      <c r="D3" s="15" t="s">
        <v>67</v>
      </c>
      <c r="E3" s="14">
        <v>2019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45702</v>
      </c>
      <c r="B6" s="6" t="s">
        <v>281</v>
      </c>
      <c r="C6" s="6" t="s">
        <v>279</v>
      </c>
      <c r="D6" s="6" t="s">
        <v>282</v>
      </c>
      <c r="E6" s="7">
        <f>SUM(F6:G6)</f>
        <v>4230</v>
      </c>
      <c r="F6" s="7">
        <v>4230</v>
      </c>
      <c r="G6" s="7"/>
    </row>
    <row r="7" spans="1:16" x14ac:dyDescent="0.3">
      <c r="A7" s="5">
        <v>46146</v>
      </c>
      <c r="B7" s="6" t="s">
        <v>493</v>
      </c>
      <c r="C7" s="6" t="s">
        <v>368</v>
      </c>
      <c r="D7" s="6" t="s">
        <v>369</v>
      </c>
      <c r="E7" s="7">
        <f>SUM(F7:G7)</f>
        <v>8000</v>
      </c>
      <c r="F7" s="7"/>
      <c r="G7" s="7">
        <v>8000</v>
      </c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12230</v>
      </c>
      <c r="F11" s="9">
        <f>SUM(F6:F10)</f>
        <v>4230</v>
      </c>
      <c r="G11" s="9">
        <f>SUM(G6:G10)</f>
        <v>8000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682FBC6E-800F-4C78-9971-4BB6BD464027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E37C-C798-4C39-B51F-C3D70346B491}">
  <sheetPr>
    <tabColor rgb="FFFF3300"/>
  </sheetPr>
  <dimension ref="A1:P28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20" t="s">
        <v>385</v>
      </c>
      <c r="C3" s="20" t="s">
        <v>78</v>
      </c>
      <c r="D3" s="15" t="s">
        <v>74</v>
      </c>
      <c r="E3" s="20">
        <v>2018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25" t="s">
        <v>381</v>
      </c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46196</v>
      </c>
      <c r="B6" s="6">
        <v>9041497338</v>
      </c>
      <c r="C6" s="6" t="s">
        <v>293</v>
      </c>
      <c r="D6" s="6" t="s">
        <v>384</v>
      </c>
      <c r="E6" s="7">
        <f>SUM(F6:G6)</f>
        <v>31924.94</v>
      </c>
      <c r="F6" s="7">
        <v>31924.94</v>
      </c>
      <c r="G6" s="7"/>
      <c r="H6" s="108">
        <v>213557</v>
      </c>
    </row>
    <row r="7" spans="1:16" x14ac:dyDescent="0.3">
      <c r="A7" s="5">
        <v>46202</v>
      </c>
      <c r="B7" s="6">
        <v>9041754945</v>
      </c>
      <c r="C7" s="6" t="s">
        <v>387</v>
      </c>
      <c r="D7" s="6" t="s">
        <v>388</v>
      </c>
      <c r="E7" s="7">
        <f>SUM(F7:G7)</f>
        <v>42536</v>
      </c>
      <c r="F7" s="7">
        <v>42536</v>
      </c>
      <c r="G7" s="7"/>
      <c r="H7" s="109"/>
    </row>
    <row r="8" spans="1:16" x14ac:dyDescent="0.3">
      <c r="A8" s="5">
        <v>46232</v>
      </c>
      <c r="B8" s="6" t="s">
        <v>566</v>
      </c>
      <c r="C8" s="6" t="s">
        <v>567</v>
      </c>
      <c r="D8" s="6" t="s">
        <v>568</v>
      </c>
      <c r="E8" s="7">
        <f>SUM(F8:G8)</f>
        <v>32000</v>
      </c>
      <c r="F8" s="7"/>
      <c r="G8" s="7">
        <v>32000</v>
      </c>
      <c r="H8" s="14"/>
    </row>
    <row r="9" spans="1:16" x14ac:dyDescent="0.3">
      <c r="A9" s="5"/>
      <c r="B9" s="6"/>
      <c r="C9" s="6"/>
      <c r="D9" s="6"/>
      <c r="E9" s="7">
        <f t="shared" ref="E9:E13" si="0">SUM(F9:G9)</f>
        <v>0</v>
      </c>
      <c r="F9" s="7"/>
      <c r="G9" s="7"/>
      <c r="H9" s="14"/>
    </row>
    <row r="10" spans="1:16" x14ac:dyDescent="0.3">
      <c r="A10" s="5"/>
      <c r="B10" s="6"/>
      <c r="C10" s="6"/>
      <c r="D10" s="6"/>
      <c r="E10" s="7">
        <f t="shared" si="0"/>
        <v>0</v>
      </c>
      <c r="F10" s="7"/>
      <c r="G10" s="7"/>
      <c r="H10" s="14"/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  <c r="H11" s="14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  <c r="H12" s="14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  <c r="H13" s="14"/>
    </row>
    <row r="14" spans="1:16" x14ac:dyDescent="0.3">
      <c r="A14" s="6"/>
      <c r="B14" s="6"/>
      <c r="C14" s="6"/>
      <c r="D14" s="6"/>
      <c r="E14" s="7">
        <f>SUM(F14:G14)</f>
        <v>0</v>
      </c>
      <c r="F14" s="7"/>
      <c r="G14" s="7"/>
      <c r="H14" s="14"/>
    </row>
    <row r="15" spans="1:16" x14ac:dyDescent="0.3">
      <c r="A15" s="6"/>
      <c r="B15" s="6"/>
      <c r="C15" s="6"/>
      <c r="D15" s="6"/>
      <c r="E15" s="7">
        <f>SUM(F15:G15)</f>
        <v>0</v>
      </c>
      <c r="F15" s="7"/>
      <c r="G15" s="7"/>
      <c r="H15" s="14"/>
    </row>
    <row r="16" spans="1:16" x14ac:dyDescent="0.3">
      <c r="A16" s="106" t="s">
        <v>10</v>
      </c>
      <c r="B16" s="106"/>
      <c r="C16" s="106"/>
      <c r="D16" s="8"/>
      <c r="E16" s="9">
        <f>SUM(E6:E15)</f>
        <v>106460.94</v>
      </c>
      <c r="F16" s="9">
        <f>SUM(F6:F15)</f>
        <v>74460.94</v>
      </c>
      <c r="G16" s="9">
        <f>SUM(G6:G15)</f>
        <v>32000</v>
      </c>
      <c r="H16" s="14"/>
    </row>
    <row r="28" spans="3:3" x14ac:dyDescent="0.3">
      <c r="C28" s="28"/>
    </row>
  </sheetData>
  <mergeCells count="3">
    <mergeCell ref="A16:C16"/>
    <mergeCell ref="A1:B1"/>
    <mergeCell ref="H6:H7"/>
  </mergeCells>
  <hyperlinks>
    <hyperlink ref="A1" location="Содержание!A1" display="Содержание!A1" xr:uid="{276EE8AA-0AE6-457B-87F0-613081D1C6D9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2EAC-26DE-4D03-8E93-FEF54DCB5919}">
  <sheetPr>
    <tabColor rgb="FFFF33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8" width="10.5546875" style="2" customWidth="1"/>
    <col min="9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3" t="s">
        <v>56</v>
      </c>
      <c r="C3" s="14" t="s">
        <v>57</v>
      </c>
      <c r="D3" s="15" t="s">
        <v>58</v>
      </c>
      <c r="E3" s="14">
        <v>2019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25" t="s">
        <v>381</v>
      </c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46078</v>
      </c>
      <c r="B6" s="6" t="s">
        <v>367</v>
      </c>
      <c r="C6" s="6" t="s">
        <v>368</v>
      </c>
      <c r="D6" s="6" t="s">
        <v>369</v>
      </c>
      <c r="E6" s="7">
        <f>SUM(F6:G6)</f>
        <v>15000</v>
      </c>
      <c r="F6" s="7"/>
      <c r="G6" s="7">
        <v>15000</v>
      </c>
      <c r="H6" s="14"/>
    </row>
    <row r="7" spans="1:16" x14ac:dyDescent="0.3">
      <c r="A7" s="5">
        <v>46197</v>
      </c>
      <c r="B7" s="6">
        <v>9041546465</v>
      </c>
      <c r="C7" s="6" t="s">
        <v>293</v>
      </c>
      <c r="D7" s="6" t="s">
        <v>382</v>
      </c>
      <c r="E7" s="7">
        <f>SUM(F7:G7)</f>
        <v>40372.9</v>
      </c>
      <c r="F7" s="7">
        <v>40372.9</v>
      </c>
      <c r="G7" s="7"/>
      <c r="H7" s="108">
        <v>113700</v>
      </c>
    </row>
    <row r="8" spans="1:16" x14ac:dyDescent="0.3">
      <c r="A8" s="5">
        <v>46197</v>
      </c>
      <c r="B8" s="6">
        <v>9041546465</v>
      </c>
      <c r="C8" s="6" t="s">
        <v>383</v>
      </c>
      <c r="D8" s="6" t="s">
        <v>384</v>
      </c>
      <c r="E8" s="7">
        <f>SUM(F8:G8)</f>
        <v>31796.71</v>
      </c>
      <c r="F8" s="7">
        <v>31796.71</v>
      </c>
      <c r="G8" s="7"/>
      <c r="H8" s="109"/>
    </row>
    <row r="9" spans="1:16" x14ac:dyDescent="0.3">
      <c r="A9" s="5">
        <v>46085</v>
      </c>
      <c r="B9" s="6" t="s">
        <v>429</v>
      </c>
      <c r="C9" s="6" t="s">
        <v>430</v>
      </c>
      <c r="D9" s="6" t="s">
        <v>431</v>
      </c>
      <c r="E9" s="7">
        <f>SUM(F9:G9)</f>
        <v>43632</v>
      </c>
      <c r="F9" s="7">
        <v>43632</v>
      </c>
      <c r="G9" s="7"/>
      <c r="H9" s="14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  <c r="H10" s="14"/>
    </row>
    <row r="11" spans="1:16" x14ac:dyDescent="0.3">
      <c r="A11" s="106" t="s">
        <v>10</v>
      </c>
      <c r="B11" s="106"/>
      <c r="C11" s="106"/>
      <c r="D11" s="8"/>
      <c r="E11" s="9">
        <f>SUM(E6:E10)</f>
        <v>130801.61</v>
      </c>
      <c r="F11" s="9">
        <f>SUM(F6:F10)</f>
        <v>115801.61</v>
      </c>
      <c r="G11" s="9">
        <f>SUM(G6:G10)</f>
        <v>15000</v>
      </c>
      <c r="H11" s="14"/>
    </row>
    <row r="23" spans="3:3" x14ac:dyDescent="0.3">
      <c r="C23" s="28"/>
    </row>
  </sheetData>
  <mergeCells count="3">
    <mergeCell ref="A11:C11"/>
    <mergeCell ref="A1:B1"/>
    <mergeCell ref="H7:H8"/>
  </mergeCells>
  <phoneticPr fontId="16" type="noConversion"/>
  <hyperlinks>
    <hyperlink ref="A1" location="Содержание!A1" display="Содержание!A1" xr:uid="{77CAAF9F-4421-4AE7-A764-C6EA9CCF915D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22FC-792F-4B1C-860C-5E1E1CE1A941}">
  <sheetPr>
    <tabColor rgb="FFFF33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68</v>
      </c>
      <c r="C3" s="14" t="s">
        <v>69</v>
      </c>
      <c r="D3" s="15" t="s">
        <v>70</v>
      </c>
      <c r="E3" s="14">
        <v>2019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/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C5656074-D49D-4BAF-BB12-FA77BA1473D8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DFED-32ED-4DB1-B6A5-4453E3EDE024}">
  <sheetPr>
    <tabColor rgb="FFFF330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x14ac:dyDescent="0.3">
      <c r="A1" s="107" t="s">
        <v>231</v>
      </c>
      <c r="B1" s="107"/>
    </row>
    <row r="3" spans="1:16" ht="21.6" customHeight="1" x14ac:dyDescent="0.3">
      <c r="B3" s="14" t="s">
        <v>59</v>
      </c>
      <c r="C3" s="14" t="s">
        <v>60</v>
      </c>
      <c r="D3" s="15" t="s">
        <v>61</v>
      </c>
      <c r="E3" s="14">
        <v>2016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EDF7EA0E-1E71-409A-85B8-E64B83B0061F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A2E7-EA8C-48C8-819A-8243750DA8CC}">
  <sheetPr>
    <tabColor theme="0" tint="-0.49998474074526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1.6" customHeight="1" x14ac:dyDescent="0.3">
      <c r="A1" s="107" t="s">
        <v>231</v>
      </c>
      <c r="B1" s="107"/>
    </row>
    <row r="2" spans="1:16" ht="16.8" customHeight="1" x14ac:dyDescent="0.3"/>
    <row r="3" spans="1:16" ht="48.6" customHeight="1" x14ac:dyDescent="0.3">
      <c r="B3" s="14" t="s">
        <v>75</v>
      </c>
      <c r="C3" s="23" t="s">
        <v>76</v>
      </c>
      <c r="D3" s="15" t="s">
        <v>77</v>
      </c>
      <c r="E3" s="14">
        <v>2024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45723</v>
      </c>
      <c r="B6" s="6">
        <v>9020098921</v>
      </c>
      <c r="C6" s="6" t="s">
        <v>293</v>
      </c>
      <c r="D6" s="6" t="s">
        <v>304</v>
      </c>
      <c r="E6" s="7">
        <f>SUM(F6:G6)</f>
        <v>20896.599999999999</v>
      </c>
      <c r="F6" s="7">
        <v>20896.599999999999</v>
      </c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20896.599999999999</v>
      </c>
      <c r="F11" s="9">
        <f>SUM(F6:F10)</f>
        <v>20896.599999999999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B0E7A996-C459-4CC6-BF4C-47324BF1099F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8508-4863-40BA-8F66-D1454F849E80}">
  <sheetPr>
    <tabColor theme="0" tint="-0.49998474074526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9.2" customHeight="1" x14ac:dyDescent="0.3">
      <c r="A1" s="107" t="s">
        <v>231</v>
      </c>
      <c r="B1" s="107"/>
    </row>
    <row r="2" spans="1:16" hidden="1" x14ac:dyDescent="0.3"/>
    <row r="3" spans="1:16" ht="31.8" customHeight="1" x14ac:dyDescent="0.3">
      <c r="B3" s="20" t="s">
        <v>79</v>
      </c>
      <c r="C3" s="20" t="s">
        <v>81</v>
      </c>
      <c r="D3" s="15" t="s">
        <v>80</v>
      </c>
      <c r="E3" s="20">
        <v>2021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46235</v>
      </c>
      <c r="B6" s="6">
        <v>199</v>
      </c>
      <c r="C6" s="6" t="s">
        <v>598</v>
      </c>
      <c r="D6" s="6" t="s">
        <v>599</v>
      </c>
      <c r="E6" s="7">
        <f>SUM(F6:G6)</f>
        <v>65000</v>
      </c>
      <c r="F6" s="7"/>
      <c r="G6" s="7">
        <v>65000</v>
      </c>
    </row>
    <row r="7" spans="1:16" x14ac:dyDescent="0.3">
      <c r="A7" s="5">
        <v>46268</v>
      </c>
      <c r="B7" s="6" t="s">
        <v>603</v>
      </c>
      <c r="C7" s="6" t="s">
        <v>398</v>
      </c>
      <c r="D7" s="6" t="s">
        <v>604</v>
      </c>
      <c r="E7" s="7">
        <f>SUM(F7:G7)</f>
        <v>15100</v>
      </c>
      <c r="F7" s="7">
        <v>15100</v>
      </c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80100</v>
      </c>
      <c r="F11" s="9">
        <f>SUM(F6:F10)</f>
        <v>15100</v>
      </c>
      <c r="G11" s="9">
        <f>SUM(G6:G10)</f>
        <v>65000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CCF65127-E94E-4FB1-B933-D4EC0CBAB6B3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6616-1B5A-49E4-A535-597A6163CA60}">
  <sheetPr>
    <tabColor theme="0" tint="-0.49998474074526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7" customHeight="1" x14ac:dyDescent="0.3">
      <c r="A1" s="107" t="s">
        <v>231</v>
      </c>
      <c r="B1" s="107"/>
    </row>
    <row r="2" spans="1:16" hidden="1" x14ac:dyDescent="0.3"/>
    <row r="3" spans="1:16" ht="30" customHeight="1" x14ac:dyDescent="0.3">
      <c r="B3" s="14" t="s">
        <v>82</v>
      </c>
      <c r="C3" s="14" t="s">
        <v>83</v>
      </c>
      <c r="D3" s="15" t="s">
        <v>84</v>
      </c>
      <c r="E3" s="14">
        <v>2021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45718</v>
      </c>
      <c r="B6" s="6">
        <v>9019876512</v>
      </c>
      <c r="C6" s="6" t="s">
        <v>293</v>
      </c>
      <c r="D6" s="6" t="s">
        <v>306</v>
      </c>
      <c r="E6" s="7">
        <f>SUM(F6:G6)</f>
        <v>736.84</v>
      </c>
      <c r="F6" s="7">
        <v>736.84</v>
      </c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736.84</v>
      </c>
      <c r="F11" s="9">
        <f>SUM(F6:F10)</f>
        <v>736.84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9F630BD8-5C10-447D-9854-75BADA7CEC42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65C5-73C3-45C3-8A14-4D3B783AAD04}">
  <sheetPr>
    <tabColor theme="0" tint="-0.49998474074526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" customHeight="1" x14ac:dyDescent="0.3">
      <c r="A1" s="107" t="s">
        <v>231</v>
      </c>
      <c r="B1" s="107"/>
    </row>
    <row r="2" spans="1:16" hidden="1" x14ac:dyDescent="0.3"/>
    <row r="3" spans="1:16" ht="33" customHeight="1" x14ac:dyDescent="0.3">
      <c r="B3" s="20" t="s">
        <v>95</v>
      </c>
      <c r="C3" s="20" t="s">
        <v>96</v>
      </c>
      <c r="D3" s="15" t="s">
        <v>97</v>
      </c>
      <c r="E3" s="20">
        <v>2019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46220</v>
      </c>
      <c r="B6" s="6" t="s">
        <v>389</v>
      </c>
      <c r="C6" s="6" t="s">
        <v>390</v>
      </c>
      <c r="D6" s="6" t="s">
        <v>334</v>
      </c>
      <c r="E6" s="7">
        <f>SUM(F6:G6)</f>
        <v>25674</v>
      </c>
      <c r="F6" s="7">
        <v>25674</v>
      </c>
      <c r="G6" s="7"/>
    </row>
    <row r="7" spans="1:16" x14ac:dyDescent="0.3">
      <c r="A7" s="5">
        <v>46140</v>
      </c>
      <c r="B7" s="6">
        <v>214</v>
      </c>
      <c r="C7" s="6" t="s">
        <v>324</v>
      </c>
      <c r="D7" s="6" t="s">
        <v>485</v>
      </c>
      <c r="E7" s="7">
        <f>SUM(F7:G7)</f>
        <v>164323</v>
      </c>
      <c r="F7" s="7">
        <v>34323</v>
      </c>
      <c r="G7" s="7">
        <v>130000</v>
      </c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189997</v>
      </c>
      <c r="F11" s="9">
        <f>SUM(F6:F10)</f>
        <v>59997</v>
      </c>
      <c r="G11" s="9">
        <f>SUM(G6:G10)</f>
        <v>130000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8BB86814-9688-42B1-8C8C-3C0569AC36FC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A33C-DCE6-49E1-8B88-7A0E1CE585C9}">
  <sheetPr>
    <tabColor theme="0" tint="-0.499984740745262"/>
  </sheetPr>
  <dimension ref="A1:P29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4.6" customHeight="1" x14ac:dyDescent="0.3">
      <c r="A1" s="107" t="s">
        <v>231</v>
      </c>
      <c r="B1" s="107"/>
    </row>
    <row r="2" spans="1:16" hidden="1" x14ac:dyDescent="0.3"/>
    <row r="3" spans="1:16" ht="28.2" customHeight="1" x14ac:dyDescent="0.3">
      <c r="B3" s="14" t="s">
        <v>85</v>
      </c>
      <c r="C3" s="14" t="s">
        <v>86</v>
      </c>
      <c r="D3" s="15" t="s">
        <v>87</v>
      </c>
      <c r="E3" s="14">
        <v>2020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45748</v>
      </c>
      <c r="B6" s="6">
        <v>179</v>
      </c>
      <c r="C6" s="6" t="s">
        <v>324</v>
      </c>
      <c r="D6" s="6" t="s">
        <v>262</v>
      </c>
      <c r="E6" s="7">
        <f>SUM(F6:G6)</f>
        <v>115993</v>
      </c>
      <c r="F6" s="7">
        <v>45993</v>
      </c>
      <c r="G6" s="7">
        <v>70000</v>
      </c>
    </row>
    <row r="7" spans="1:16" x14ac:dyDescent="0.3">
      <c r="A7" s="5">
        <v>46153</v>
      </c>
      <c r="B7" s="6">
        <v>240</v>
      </c>
      <c r="C7" s="6" t="s">
        <v>324</v>
      </c>
      <c r="D7" s="6" t="s">
        <v>499</v>
      </c>
      <c r="E7" s="7">
        <f>SUM(F7:G7)</f>
        <v>9850</v>
      </c>
      <c r="F7" s="7"/>
      <c r="G7" s="7">
        <v>9850</v>
      </c>
    </row>
    <row r="8" spans="1:16" x14ac:dyDescent="0.3">
      <c r="A8" s="5">
        <v>46231</v>
      </c>
      <c r="B8" s="6">
        <v>330</v>
      </c>
      <c r="C8" s="6" t="s">
        <v>324</v>
      </c>
      <c r="D8" s="6" t="s">
        <v>262</v>
      </c>
      <c r="E8" s="7">
        <f t="shared" ref="E8:E13" si="0">SUM(F8:G8)</f>
        <v>70000</v>
      </c>
      <c r="F8" s="7">
        <v>39000</v>
      </c>
      <c r="G8" s="7">
        <v>31000</v>
      </c>
    </row>
    <row r="9" spans="1:16" x14ac:dyDescent="0.3">
      <c r="A9" s="5"/>
      <c r="B9" s="6"/>
      <c r="C9" s="6"/>
      <c r="D9" s="6"/>
      <c r="E9" s="7">
        <f t="shared" si="0"/>
        <v>0</v>
      </c>
      <c r="F9" s="7"/>
      <c r="G9" s="7"/>
    </row>
    <row r="10" spans="1:16" x14ac:dyDescent="0.3">
      <c r="A10" s="5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6"/>
      <c r="B14" s="6"/>
      <c r="C14" s="6"/>
      <c r="D14" s="6"/>
      <c r="E14" s="7">
        <f>SUM(F14:G14)</f>
        <v>0</v>
      </c>
      <c r="F14" s="7"/>
      <c r="G14" s="7"/>
    </row>
    <row r="15" spans="1:16" x14ac:dyDescent="0.3">
      <c r="A15" s="6"/>
      <c r="B15" s="6"/>
      <c r="C15" s="6"/>
      <c r="D15" s="6"/>
      <c r="E15" s="7">
        <f>SUM(F15:G15)</f>
        <v>0</v>
      </c>
      <c r="F15" s="7"/>
      <c r="G15" s="7"/>
    </row>
    <row r="16" spans="1:16" x14ac:dyDescent="0.3">
      <c r="A16" s="6"/>
      <c r="B16" s="6"/>
      <c r="C16" s="6"/>
      <c r="D16" s="6"/>
      <c r="E16" s="7">
        <f>SUM(F16:G16)</f>
        <v>0</v>
      </c>
      <c r="F16" s="7"/>
      <c r="G16" s="7"/>
    </row>
    <row r="17" spans="1:7" x14ac:dyDescent="0.3">
      <c r="A17" s="106" t="s">
        <v>10</v>
      </c>
      <c r="B17" s="106"/>
      <c r="C17" s="106"/>
      <c r="D17" s="8"/>
      <c r="E17" s="9">
        <f>SUM(E6:E16)</f>
        <v>195843</v>
      </c>
      <c r="F17" s="9">
        <f>SUM(F6:F16)</f>
        <v>84993</v>
      </c>
      <c r="G17" s="9">
        <f>SUM(G6:G16)</f>
        <v>110850</v>
      </c>
    </row>
    <row r="29" spans="1:7" x14ac:dyDescent="0.3">
      <c r="C29" s="28"/>
    </row>
  </sheetData>
  <mergeCells count="2">
    <mergeCell ref="A17:C17"/>
    <mergeCell ref="A1:B1"/>
  </mergeCells>
  <hyperlinks>
    <hyperlink ref="A1" location="Содержание!A1" display="Содержание!A1" xr:uid="{280A1C42-5B95-4E43-8F64-5102F23FCB5B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F12A-FF1E-4FD8-ABF2-C710621BECF0}">
  <sheetPr>
    <tabColor theme="0" tint="-0.499984740745262"/>
  </sheetPr>
  <dimension ref="A1:P32"/>
  <sheetViews>
    <sheetView workbookViewId="0">
      <selection activeCell="D14" sqref="D14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.6" customHeight="1" x14ac:dyDescent="0.3">
      <c r="A1" s="107" t="s">
        <v>231</v>
      </c>
      <c r="B1" s="107"/>
    </row>
    <row r="2" spans="1:16" hidden="1" x14ac:dyDescent="0.3"/>
    <row r="3" spans="1:16" ht="25.8" customHeight="1" x14ac:dyDescent="0.3">
      <c r="B3" s="14" t="s">
        <v>88</v>
      </c>
      <c r="C3" s="14" t="s">
        <v>89</v>
      </c>
      <c r="D3" s="15" t="s">
        <v>87</v>
      </c>
      <c r="E3" s="14">
        <v>2020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45698</v>
      </c>
      <c r="B6" s="6">
        <v>65</v>
      </c>
      <c r="C6" s="6" t="s">
        <v>261</v>
      </c>
      <c r="D6" s="6" t="s">
        <v>262</v>
      </c>
      <c r="E6" s="7">
        <f>SUM(F6:G6)</f>
        <v>252628</v>
      </c>
      <c r="F6" s="7">
        <v>62220</v>
      </c>
      <c r="G6" s="7">
        <v>190408</v>
      </c>
    </row>
    <row r="7" spans="1:16" x14ac:dyDescent="0.3">
      <c r="A7" s="81">
        <v>46053</v>
      </c>
      <c r="B7" s="82" t="s">
        <v>338</v>
      </c>
      <c r="C7" s="82" t="s">
        <v>339</v>
      </c>
      <c r="D7" s="82" t="s">
        <v>340</v>
      </c>
      <c r="E7" s="7">
        <f t="shared" ref="E7:E8" si="0">SUM(F7:G7)</f>
        <v>19860</v>
      </c>
      <c r="F7" s="7">
        <v>19860</v>
      </c>
      <c r="G7" s="7"/>
    </row>
    <row r="8" spans="1:16" x14ac:dyDescent="0.3">
      <c r="A8" s="81">
        <v>46056</v>
      </c>
      <c r="B8" s="82">
        <v>11</v>
      </c>
      <c r="C8" s="82" t="s">
        <v>374</v>
      </c>
      <c r="D8" s="82" t="s">
        <v>373</v>
      </c>
      <c r="E8" s="7">
        <f t="shared" si="0"/>
        <v>61000</v>
      </c>
      <c r="F8" s="7">
        <v>61000</v>
      </c>
      <c r="G8" s="7"/>
    </row>
    <row r="9" spans="1:16" x14ac:dyDescent="0.3">
      <c r="A9" s="5">
        <v>46113</v>
      </c>
      <c r="B9" s="6">
        <v>140</v>
      </c>
      <c r="C9" s="6" t="s">
        <v>324</v>
      </c>
      <c r="D9" s="6" t="s">
        <v>262</v>
      </c>
      <c r="E9" s="7">
        <f>SUM(F9:G9)</f>
        <v>30020</v>
      </c>
      <c r="F9" s="7">
        <v>13970</v>
      </c>
      <c r="G9" s="7">
        <v>16050</v>
      </c>
    </row>
    <row r="10" spans="1:16" x14ac:dyDescent="0.3">
      <c r="A10" s="5">
        <v>46163</v>
      </c>
      <c r="B10" s="6">
        <v>264</v>
      </c>
      <c r="C10" s="6" t="s">
        <v>324</v>
      </c>
      <c r="D10" s="6" t="s">
        <v>262</v>
      </c>
      <c r="E10" s="7">
        <f>SUM(F10:G10)</f>
        <v>128240</v>
      </c>
      <c r="F10" s="7">
        <v>52000</v>
      </c>
      <c r="G10" s="7">
        <v>76240</v>
      </c>
    </row>
    <row r="11" spans="1:16" x14ac:dyDescent="0.3">
      <c r="A11" s="5">
        <v>46183</v>
      </c>
      <c r="B11" s="6">
        <v>49</v>
      </c>
      <c r="C11" s="6" t="s">
        <v>522</v>
      </c>
      <c r="D11" s="6" t="s">
        <v>529</v>
      </c>
      <c r="E11" s="7">
        <f t="shared" ref="E11:E18" si="1">SUM(F11:G11)</f>
        <v>12000</v>
      </c>
      <c r="F11" s="7"/>
      <c r="G11" s="7">
        <v>12000</v>
      </c>
    </row>
    <row r="12" spans="1:16" x14ac:dyDescent="0.3">
      <c r="A12" s="5">
        <v>46251</v>
      </c>
      <c r="B12" s="6">
        <v>170</v>
      </c>
      <c r="C12" s="6" t="s">
        <v>374</v>
      </c>
      <c r="D12" s="6" t="s">
        <v>584</v>
      </c>
      <c r="E12" s="7">
        <f t="shared" si="1"/>
        <v>38000</v>
      </c>
      <c r="F12" s="7">
        <v>38000</v>
      </c>
      <c r="G12" s="7"/>
    </row>
    <row r="13" spans="1:16" x14ac:dyDescent="0.3">
      <c r="A13" s="5"/>
      <c r="B13" s="6"/>
      <c r="C13" s="6"/>
      <c r="D13" s="6"/>
      <c r="E13" s="7">
        <f t="shared" si="1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1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1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1"/>
        <v>0</v>
      </c>
      <c r="F16" s="7"/>
      <c r="G16" s="7"/>
    </row>
    <row r="17" spans="1:7" x14ac:dyDescent="0.3">
      <c r="A17" s="5"/>
      <c r="B17" s="6"/>
      <c r="C17" s="6"/>
      <c r="D17" s="6"/>
      <c r="E17" s="7">
        <f t="shared" si="1"/>
        <v>0</v>
      </c>
      <c r="F17" s="7"/>
      <c r="G17" s="7"/>
    </row>
    <row r="18" spans="1:7" x14ac:dyDescent="0.3">
      <c r="A18" s="5"/>
      <c r="B18" s="6"/>
      <c r="C18" s="6"/>
      <c r="D18" s="6"/>
      <c r="E18" s="7">
        <f t="shared" si="1"/>
        <v>0</v>
      </c>
      <c r="F18" s="7"/>
      <c r="G18" s="7"/>
    </row>
    <row r="19" spans="1:7" x14ac:dyDescent="0.3">
      <c r="A19" s="6"/>
      <c r="B19" s="6"/>
      <c r="C19" s="6"/>
      <c r="D19" s="6"/>
      <c r="E19" s="7">
        <f>SUM(F19:G19)</f>
        <v>0</v>
      </c>
      <c r="F19" s="7"/>
      <c r="G19" s="7"/>
    </row>
    <row r="20" spans="1:7" x14ac:dyDescent="0.3">
      <c r="A20" s="106" t="s">
        <v>10</v>
      </c>
      <c r="B20" s="106"/>
      <c r="C20" s="106"/>
      <c r="D20" s="8"/>
      <c r="E20" s="9">
        <f>SUM(E6:E19)</f>
        <v>541748</v>
      </c>
      <c r="F20" s="9">
        <f>SUM(F6:F19)</f>
        <v>247050</v>
      </c>
      <c r="G20" s="9">
        <f>SUM(G6:G19)</f>
        <v>294698</v>
      </c>
    </row>
    <row r="32" spans="1:7" x14ac:dyDescent="0.3">
      <c r="C32" s="28"/>
    </row>
  </sheetData>
  <mergeCells count="2">
    <mergeCell ref="A20:C20"/>
    <mergeCell ref="A1:B1"/>
  </mergeCells>
  <hyperlinks>
    <hyperlink ref="A1:B1" location="Содержание!A1" display="Содержание!A1" xr:uid="{1A4BD174-BEFB-4DEB-996F-058E53CF765E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8117-1610-4EB4-8947-E6A45644DA92}">
  <sheetPr>
    <tabColor theme="0" tint="-0.499984740745262"/>
  </sheetPr>
  <dimension ref="A1:P3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2" customHeight="1" x14ac:dyDescent="0.3">
      <c r="A1" s="107" t="s">
        <v>231</v>
      </c>
      <c r="B1" s="107"/>
    </row>
    <row r="2" spans="1:16" hidden="1" x14ac:dyDescent="0.3"/>
    <row r="3" spans="1:16" ht="23.4" customHeight="1" x14ac:dyDescent="0.3">
      <c r="B3" s="14" t="s">
        <v>90</v>
      </c>
      <c r="C3" s="14" t="s">
        <v>91</v>
      </c>
      <c r="D3" s="15" t="s">
        <v>92</v>
      </c>
      <c r="E3" s="14">
        <v>2020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45699</v>
      </c>
      <c r="B6" s="68">
        <v>32</v>
      </c>
      <c r="C6" s="6" t="s">
        <v>261</v>
      </c>
      <c r="D6" s="6" t="s">
        <v>262</v>
      </c>
      <c r="E6" s="7">
        <f>SUM(F6:G6)</f>
        <v>203926</v>
      </c>
      <c r="F6" s="7">
        <v>157366</v>
      </c>
      <c r="G6" s="7">
        <v>46560</v>
      </c>
    </row>
    <row r="7" spans="1:16" x14ac:dyDescent="0.3">
      <c r="A7" s="5">
        <v>45691</v>
      </c>
      <c r="B7" s="6">
        <v>45</v>
      </c>
      <c r="C7" s="6" t="s">
        <v>261</v>
      </c>
      <c r="D7" s="6" t="s">
        <v>263</v>
      </c>
      <c r="E7" s="7">
        <f>SUM(F7:G7)</f>
        <v>15000</v>
      </c>
      <c r="F7" s="7"/>
      <c r="G7" s="7">
        <v>15000</v>
      </c>
    </row>
    <row r="8" spans="1:16" x14ac:dyDescent="0.3">
      <c r="A8" s="5">
        <v>46235</v>
      </c>
      <c r="B8" s="6" t="s">
        <v>397</v>
      </c>
      <c r="C8" s="6" t="s">
        <v>398</v>
      </c>
      <c r="D8" s="6" t="s">
        <v>399</v>
      </c>
      <c r="E8" s="7">
        <f>SUM(F8:G8)</f>
        <v>36854</v>
      </c>
      <c r="F8" s="7">
        <v>36854</v>
      </c>
      <c r="G8" s="7"/>
    </row>
    <row r="9" spans="1:16" x14ac:dyDescent="0.3">
      <c r="A9" s="5">
        <v>46235</v>
      </c>
      <c r="B9" s="6" t="s">
        <v>401</v>
      </c>
      <c r="C9" s="6" t="s">
        <v>398</v>
      </c>
      <c r="D9" s="6" t="s">
        <v>334</v>
      </c>
      <c r="E9" s="7">
        <f>SUM(F9:G9)</f>
        <v>24571</v>
      </c>
      <c r="F9" s="7">
        <v>24571</v>
      </c>
      <c r="G9" s="7"/>
    </row>
    <row r="10" spans="1:16" x14ac:dyDescent="0.3">
      <c r="A10" s="5">
        <v>46255</v>
      </c>
      <c r="B10" s="6" t="s">
        <v>415</v>
      </c>
      <c r="C10" s="6" t="s">
        <v>398</v>
      </c>
      <c r="D10" s="6" t="s">
        <v>416</v>
      </c>
      <c r="E10" s="7">
        <f t="shared" ref="E10:E19" si="0">SUM(F10:G10)</f>
        <v>8172</v>
      </c>
      <c r="F10" s="7">
        <v>8172</v>
      </c>
      <c r="G10" s="7"/>
    </row>
    <row r="11" spans="1:16" x14ac:dyDescent="0.3">
      <c r="A11" s="5">
        <v>46121</v>
      </c>
      <c r="B11" s="6">
        <v>59</v>
      </c>
      <c r="C11" s="6" t="s">
        <v>374</v>
      </c>
      <c r="D11" s="6" t="s">
        <v>469</v>
      </c>
      <c r="E11" s="7">
        <f t="shared" si="0"/>
        <v>1089500</v>
      </c>
      <c r="F11" s="7"/>
      <c r="G11" s="7">
        <v>1089500</v>
      </c>
    </row>
    <row r="12" spans="1:16" x14ac:dyDescent="0.3">
      <c r="A12" s="5">
        <v>46223</v>
      </c>
      <c r="B12" s="6">
        <v>691</v>
      </c>
      <c r="C12" s="6" t="s">
        <v>538</v>
      </c>
      <c r="D12" s="6" t="s">
        <v>539</v>
      </c>
      <c r="E12" s="7">
        <f t="shared" si="0"/>
        <v>135960</v>
      </c>
      <c r="F12" s="7">
        <v>135960</v>
      </c>
      <c r="G12" s="7"/>
    </row>
    <row r="13" spans="1:16" x14ac:dyDescent="0.3">
      <c r="A13" s="5">
        <v>46251</v>
      </c>
      <c r="B13" s="6">
        <v>170</v>
      </c>
      <c r="C13" s="6" t="s">
        <v>374</v>
      </c>
      <c r="D13" s="6" t="s">
        <v>585</v>
      </c>
      <c r="E13" s="7">
        <f t="shared" si="0"/>
        <v>35000</v>
      </c>
      <c r="F13" s="7"/>
      <c r="G13" s="7">
        <v>35000</v>
      </c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0"/>
        <v>0</v>
      </c>
      <c r="F16" s="7"/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5"/>
      <c r="B18" s="6"/>
      <c r="C18" s="6"/>
      <c r="D18" s="6"/>
      <c r="E18" s="7">
        <f t="shared" si="0"/>
        <v>0</v>
      </c>
      <c r="F18" s="7"/>
      <c r="G18" s="7"/>
    </row>
    <row r="19" spans="1:7" x14ac:dyDescent="0.3">
      <c r="A19" s="5"/>
      <c r="B19" s="6"/>
      <c r="C19" s="6"/>
      <c r="D19" s="6"/>
      <c r="E19" s="7">
        <f t="shared" si="0"/>
        <v>0</v>
      </c>
      <c r="F19" s="7"/>
      <c r="G19" s="7"/>
    </row>
    <row r="20" spans="1:7" x14ac:dyDescent="0.3">
      <c r="A20" s="6"/>
      <c r="B20" s="6"/>
      <c r="C20" s="6"/>
      <c r="D20" s="6"/>
      <c r="E20" s="7">
        <f>SUM(F20:G20)</f>
        <v>0</v>
      </c>
      <c r="F20" s="7"/>
      <c r="G20" s="7"/>
    </row>
    <row r="21" spans="1:7" x14ac:dyDescent="0.3">
      <c r="A21" s="106" t="s">
        <v>10</v>
      </c>
      <c r="B21" s="106"/>
      <c r="C21" s="106"/>
      <c r="D21" s="8"/>
      <c r="E21" s="9">
        <f>SUM(E6:E20)</f>
        <v>1548983</v>
      </c>
      <c r="F21" s="9">
        <f>SUM(F6:F20)</f>
        <v>362923</v>
      </c>
      <c r="G21" s="9">
        <f>SUM(G6:G20)</f>
        <v>1186060</v>
      </c>
    </row>
    <row r="33" spans="3:3" x14ac:dyDescent="0.3">
      <c r="C33" s="28"/>
    </row>
  </sheetData>
  <mergeCells count="2">
    <mergeCell ref="A21:C21"/>
    <mergeCell ref="A1:B1"/>
  </mergeCells>
  <hyperlinks>
    <hyperlink ref="A1:B1" location="Содержание!A1" display="Содержание!A1" xr:uid="{65397354-E246-4CB9-BF62-04366E1B76BE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52EA-734C-4871-A8BB-42944BB5FE17}">
  <sheetPr>
    <tabColor theme="0" tint="-0.499984740745262"/>
  </sheetPr>
  <dimension ref="A1:P3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idden="1" x14ac:dyDescent="0.3"/>
    <row r="3" spans="1:16" ht="28.8" customHeight="1" x14ac:dyDescent="0.3">
      <c r="B3" s="14" t="s">
        <v>93</v>
      </c>
      <c r="C3" s="14" t="s">
        <v>94</v>
      </c>
      <c r="D3" s="15" t="s">
        <v>92</v>
      </c>
      <c r="E3" s="14">
        <v>2020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45761</v>
      </c>
      <c r="B6" s="6">
        <v>221</v>
      </c>
      <c r="C6" s="6" t="s">
        <v>324</v>
      </c>
      <c r="D6" s="6" t="s">
        <v>262</v>
      </c>
      <c r="E6" s="7">
        <f>SUM(F6:G6)</f>
        <v>117015</v>
      </c>
      <c r="F6" s="7">
        <v>28215</v>
      </c>
      <c r="G6" s="7">
        <v>88800</v>
      </c>
    </row>
    <row r="7" spans="1:16" x14ac:dyDescent="0.3">
      <c r="A7" s="5">
        <v>45798</v>
      </c>
      <c r="B7" s="6">
        <v>294</v>
      </c>
      <c r="C7" s="6" t="s">
        <v>324</v>
      </c>
      <c r="D7" s="6" t="s">
        <v>327</v>
      </c>
      <c r="E7" s="7">
        <f>SUM(F7:G7)</f>
        <v>20500</v>
      </c>
      <c r="F7" s="7">
        <v>20500</v>
      </c>
      <c r="G7" s="7"/>
    </row>
    <row r="8" spans="1:16" x14ac:dyDescent="0.3">
      <c r="A8" s="5">
        <v>46034</v>
      </c>
      <c r="B8" s="6" t="s">
        <v>333</v>
      </c>
      <c r="C8" s="6" t="s">
        <v>335</v>
      </c>
      <c r="D8" s="6" t="s">
        <v>334</v>
      </c>
      <c r="E8" s="7">
        <f>SUM(F8:G8)</f>
        <v>20892</v>
      </c>
      <c r="F8" s="7">
        <v>20892</v>
      </c>
      <c r="G8" s="7"/>
    </row>
    <row r="9" spans="1:16" x14ac:dyDescent="0.3">
      <c r="A9" s="5">
        <v>46037</v>
      </c>
      <c r="B9" s="6">
        <v>266</v>
      </c>
      <c r="C9" s="6" t="s">
        <v>335</v>
      </c>
      <c r="D9" s="6" t="s">
        <v>332</v>
      </c>
      <c r="E9" s="7">
        <f>SUM(F9:F9)</f>
        <v>10832</v>
      </c>
      <c r="F9" s="7">
        <v>10832</v>
      </c>
      <c r="G9" s="7"/>
    </row>
    <row r="10" spans="1:16" x14ac:dyDescent="0.3">
      <c r="A10" s="5">
        <v>46077</v>
      </c>
      <c r="B10" s="6" t="s">
        <v>361</v>
      </c>
      <c r="C10" s="6" t="s">
        <v>335</v>
      </c>
      <c r="D10" s="6" t="s">
        <v>362</v>
      </c>
      <c r="E10" s="7">
        <f t="shared" ref="E10:E19" si="0">SUM(F10:F10)</f>
        <v>21691</v>
      </c>
      <c r="F10" s="7">
        <v>21691</v>
      </c>
      <c r="G10" s="7"/>
    </row>
    <row r="11" spans="1:16" x14ac:dyDescent="0.3">
      <c r="A11" s="5">
        <v>46235</v>
      </c>
      <c r="B11" s="6" t="s">
        <v>402</v>
      </c>
      <c r="C11" s="6" t="s">
        <v>335</v>
      </c>
      <c r="D11" s="6" t="s">
        <v>403</v>
      </c>
      <c r="E11" s="7">
        <f t="shared" si="0"/>
        <v>76890</v>
      </c>
      <c r="F11" s="7">
        <v>76890</v>
      </c>
      <c r="G11" s="7"/>
    </row>
    <row r="12" spans="1:16" x14ac:dyDescent="0.3">
      <c r="A12" s="5">
        <v>46127</v>
      </c>
      <c r="B12" s="6">
        <v>194</v>
      </c>
      <c r="C12" s="6" t="s">
        <v>324</v>
      </c>
      <c r="D12" s="6" t="s">
        <v>471</v>
      </c>
      <c r="E12" s="7">
        <f t="shared" si="0"/>
        <v>0</v>
      </c>
      <c r="F12" s="7"/>
      <c r="G12" s="7">
        <v>13000</v>
      </c>
    </row>
    <row r="13" spans="1:16" x14ac:dyDescent="0.3">
      <c r="A13" s="5">
        <v>46163</v>
      </c>
      <c r="B13" s="6">
        <v>34</v>
      </c>
      <c r="C13" s="6" t="s">
        <v>522</v>
      </c>
      <c r="D13" s="6" t="s">
        <v>524</v>
      </c>
      <c r="E13" s="7">
        <f t="shared" si="0"/>
        <v>0</v>
      </c>
      <c r="F13" s="7"/>
      <c r="G13" s="7">
        <v>20000</v>
      </c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0"/>
        <v>0</v>
      </c>
      <c r="F16" s="7"/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5"/>
      <c r="B18" s="6"/>
      <c r="C18" s="6"/>
      <c r="D18" s="6"/>
      <c r="E18" s="7">
        <f t="shared" si="0"/>
        <v>0</v>
      </c>
      <c r="F18" s="7"/>
      <c r="G18" s="7"/>
    </row>
    <row r="19" spans="1:7" x14ac:dyDescent="0.3">
      <c r="A19" s="5"/>
      <c r="B19" s="6"/>
      <c r="C19" s="6"/>
      <c r="D19" s="6"/>
      <c r="E19" s="7">
        <f t="shared" si="0"/>
        <v>0</v>
      </c>
      <c r="F19" s="7"/>
      <c r="G19" s="7"/>
    </row>
    <row r="20" spans="1:7" x14ac:dyDescent="0.3">
      <c r="A20" s="6"/>
      <c r="B20" s="6"/>
      <c r="C20" s="6"/>
      <c r="D20" s="6"/>
      <c r="E20" s="7">
        <f>SUM(F20:G20)</f>
        <v>0</v>
      </c>
      <c r="F20" s="7"/>
      <c r="G20" s="7"/>
    </row>
    <row r="21" spans="1:7" x14ac:dyDescent="0.3">
      <c r="A21" s="106" t="s">
        <v>10</v>
      </c>
      <c r="B21" s="106"/>
      <c r="C21" s="106"/>
      <c r="D21" s="8"/>
      <c r="E21" s="9">
        <f>SUM(E6:E20)</f>
        <v>267820</v>
      </c>
      <c r="F21" s="9">
        <f>SUM(F6:F20)</f>
        <v>179020</v>
      </c>
      <c r="G21" s="9">
        <f>SUM(G6:G20)</f>
        <v>121800</v>
      </c>
    </row>
    <row r="33" spans="3:3" x14ac:dyDescent="0.3">
      <c r="C33" s="28"/>
    </row>
  </sheetData>
  <mergeCells count="2">
    <mergeCell ref="A21:C21"/>
    <mergeCell ref="A1:B1"/>
  </mergeCells>
  <phoneticPr fontId="16" type="noConversion"/>
  <hyperlinks>
    <hyperlink ref="A1:B1" location="Содержание!A1" display="Содержание!A1" xr:uid="{DEA06D6F-71EC-4670-A878-9FDA4C55A4D8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EC28-E445-4795-8766-C7A0E05A0526}">
  <sheetPr>
    <tabColor theme="0" tint="-0.499984740745262"/>
  </sheetPr>
  <dimension ref="A1:P30"/>
  <sheetViews>
    <sheetView workbookViewId="0">
      <selection activeCell="A9" sqref="A9:D9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idden="1" x14ac:dyDescent="0.3"/>
    <row r="3" spans="1:16" ht="24.6" customHeight="1" x14ac:dyDescent="0.3">
      <c r="B3" s="14" t="s">
        <v>98</v>
      </c>
      <c r="C3" s="14" t="s">
        <v>99</v>
      </c>
      <c r="D3" s="15" t="s">
        <v>100</v>
      </c>
      <c r="E3" s="14">
        <v>2017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45692</v>
      </c>
      <c r="B6" s="6">
        <v>2420</v>
      </c>
      <c r="C6" s="6" t="s">
        <v>267</v>
      </c>
      <c r="D6" s="6" t="s">
        <v>236</v>
      </c>
      <c r="E6" s="7">
        <f>SUM(F6:G6)</f>
        <v>17005</v>
      </c>
      <c r="F6" s="7">
        <v>17005</v>
      </c>
      <c r="G6" s="7"/>
    </row>
    <row r="7" spans="1:16" x14ac:dyDescent="0.3">
      <c r="A7" s="5">
        <v>45992</v>
      </c>
      <c r="B7" s="6"/>
      <c r="C7" s="6" t="s">
        <v>328</v>
      </c>
      <c r="D7" s="6" t="s">
        <v>329</v>
      </c>
      <c r="E7" s="7">
        <v>270000</v>
      </c>
      <c r="F7" s="7"/>
      <c r="G7" s="7">
        <v>270000</v>
      </c>
    </row>
    <row r="8" spans="1:16" x14ac:dyDescent="0.3">
      <c r="A8" s="5">
        <v>46232</v>
      </c>
      <c r="B8" s="6" t="s">
        <v>392</v>
      </c>
      <c r="C8" s="6" t="s">
        <v>391</v>
      </c>
      <c r="D8" s="6" t="s">
        <v>393</v>
      </c>
      <c r="E8" s="7">
        <f>SUM(F8:G8)</f>
        <v>6746</v>
      </c>
      <c r="F8" s="7">
        <v>6746</v>
      </c>
      <c r="G8" s="7"/>
    </row>
    <row r="9" spans="1:16" x14ac:dyDescent="0.3">
      <c r="A9" s="5">
        <v>46169</v>
      </c>
      <c r="B9" s="6">
        <v>40</v>
      </c>
      <c r="C9" s="6" t="s">
        <v>522</v>
      </c>
      <c r="D9" s="6" t="s">
        <v>422</v>
      </c>
      <c r="E9" s="7">
        <f t="shared" ref="E9:E15" si="0">SUM(F9:G9)</f>
        <v>8000</v>
      </c>
      <c r="F9" s="7"/>
      <c r="G9" s="7">
        <v>8000</v>
      </c>
    </row>
    <row r="10" spans="1:16" x14ac:dyDescent="0.3">
      <c r="A10" s="5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6"/>
      <c r="B16" s="6"/>
      <c r="C16" s="6"/>
      <c r="D16" s="6"/>
      <c r="E16" s="7">
        <f>SUM(F16:G16)</f>
        <v>0</v>
      </c>
      <c r="F16" s="7"/>
      <c r="G16" s="7"/>
    </row>
    <row r="17" spans="1:7" x14ac:dyDescent="0.3">
      <c r="A17" s="6"/>
      <c r="B17" s="6"/>
      <c r="C17" s="6"/>
      <c r="D17" s="6"/>
      <c r="E17" s="7">
        <f>SUM(F17:G17)</f>
        <v>0</v>
      </c>
      <c r="F17" s="7"/>
      <c r="G17" s="7"/>
    </row>
    <row r="18" spans="1:7" x14ac:dyDescent="0.3">
      <c r="A18" s="106" t="s">
        <v>10</v>
      </c>
      <c r="B18" s="106"/>
      <c r="C18" s="106"/>
      <c r="D18" s="8"/>
      <c r="E18" s="9">
        <f>SUM(E6:E17)</f>
        <v>301751</v>
      </c>
      <c r="F18" s="9">
        <f>SUM(F6:F17)</f>
        <v>23751</v>
      </c>
      <c r="G18" s="9">
        <f>SUM(G6:G17)</f>
        <v>278000</v>
      </c>
    </row>
    <row r="30" spans="1:7" x14ac:dyDescent="0.3">
      <c r="C30" s="28"/>
    </row>
  </sheetData>
  <mergeCells count="2">
    <mergeCell ref="A18:C18"/>
    <mergeCell ref="A1:B1"/>
  </mergeCells>
  <hyperlinks>
    <hyperlink ref="A1:B1" location="Содержание!A1" display="Содержание!A1" xr:uid="{4F8E5CB4-A919-4100-808F-0963B47B4C12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A180-B52F-40B2-8CB0-5B6CA05D7A06}">
  <sheetPr>
    <tabColor theme="0" tint="-0.499984740745262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t="12.6" customHeight="1" x14ac:dyDescent="0.3"/>
    <row r="3" spans="1:16" ht="30.6" customHeight="1" x14ac:dyDescent="0.3">
      <c r="B3" s="20" t="s">
        <v>104</v>
      </c>
      <c r="C3" s="20" t="s">
        <v>105</v>
      </c>
      <c r="D3" s="15" t="s">
        <v>100</v>
      </c>
      <c r="E3" s="20">
        <v>2017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83">
        <v>46051</v>
      </c>
      <c r="B6" s="5" t="s">
        <v>341</v>
      </c>
      <c r="C6" s="6" t="s">
        <v>342</v>
      </c>
      <c r="D6" s="6" t="s">
        <v>343</v>
      </c>
      <c r="E6" s="7">
        <f>SUM(F6:G6)</f>
        <v>52578</v>
      </c>
      <c r="F6" s="7">
        <v>52578</v>
      </c>
      <c r="G6" s="7"/>
    </row>
    <row r="7" spans="1:16" x14ac:dyDescent="0.3">
      <c r="A7" s="5">
        <v>46058</v>
      </c>
      <c r="B7" s="6">
        <v>94</v>
      </c>
      <c r="C7" s="6" t="s">
        <v>358</v>
      </c>
      <c r="D7" s="6" t="s">
        <v>344</v>
      </c>
      <c r="E7" s="7">
        <f>SUM(F7:G7)</f>
        <v>32900</v>
      </c>
      <c r="F7" s="7">
        <v>32900</v>
      </c>
      <c r="G7" s="7"/>
    </row>
    <row r="8" spans="1:16" x14ac:dyDescent="0.3">
      <c r="A8" s="5">
        <v>46077</v>
      </c>
      <c r="B8" s="6" t="s">
        <v>361</v>
      </c>
      <c r="C8" s="6" t="s">
        <v>335</v>
      </c>
      <c r="D8" s="6" t="s">
        <v>363</v>
      </c>
      <c r="E8" s="7">
        <f>SUM(F8:G8)</f>
        <v>5150</v>
      </c>
      <c r="F8" s="7">
        <v>5150</v>
      </c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90628</v>
      </c>
      <c r="F11" s="9">
        <f>SUM(F6:F10)</f>
        <v>90628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" location="Содержание!A1" display="Содержание!A1" xr:uid="{F4A61342-9022-4805-968F-8A2A37A64E3B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2164-4302-4756-AE2B-4D8CC34981B4}">
  <sheetPr>
    <tabColor theme="0" tint="-0.499984740745262"/>
  </sheetPr>
  <dimension ref="A1:P29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20" t="s">
        <v>102</v>
      </c>
      <c r="C3" s="20" t="s">
        <v>103</v>
      </c>
      <c r="D3" s="15" t="s">
        <v>100</v>
      </c>
      <c r="E3" s="20">
        <v>2017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46057</v>
      </c>
      <c r="B6" s="6">
        <v>57</v>
      </c>
      <c r="C6" s="6" t="s">
        <v>356</v>
      </c>
      <c r="D6" s="6" t="s">
        <v>357</v>
      </c>
      <c r="E6" s="7">
        <f>SUM(F6:G6)</f>
        <v>100460</v>
      </c>
      <c r="F6" s="7">
        <v>49920</v>
      </c>
      <c r="G6" s="7">
        <v>50540</v>
      </c>
    </row>
    <row r="7" spans="1:16" x14ac:dyDescent="0.3">
      <c r="A7" s="5">
        <v>46232</v>
      </c>
      <c r="B7" s="6" t="s">
        <v>394</v>
      </c>
      <c r="C7" s="6" t="s">
        <v>395</v>
      </c>
      <c r="D7" s="6" t="s">
        <v>396</v>
      </c>
      <c r="E7" s="7">
        <f>SUM(F7:G7)</f>
        <v>6292</v>
      </c>
      <c r="F7" s="7">
        <v>6292</v>
      </c>
      <c r="G7" s="7"/>
    </row>
    <row r="8" spans="1:16" x14ac:dyDescent="0.3">
      <c r="A8" s="5">
        <v>46264</v>
      </c>
      <c r="B8" s="6" t="s">
        <v>497</v>
      </c>
      <c r="C8" s="6" t="s">
        <v>398</v>
      </c>
      <c r="D8" s="6" t="s">
        <v>498</v>
      </c>
      <c r="E8" s="7">
        <f>SUM(F8:G8)</f>
        <v>73545</v>
      </c>
      <c r="F8" s="7">
        <v>73545</v>
      </c>
      <c r="G8" s="7"/>
    </row>
    <row r="9" spans="1:16" x14ac:dyDescent="0.3">
      <c r="A9" s="5">
        <v>46169</v>
      </c>
      <c r="B9" s="6">
        <v>40</v>
      </c>
      <c r="C9" s="6" t="s">
        <v>522</v>
      </c>
      <c r="D9" s="6" t="s">
        <v>422</v>
      </c>
      <c r="E9" s="7">
        <f t="shared" ref="E9:E14" si="0">SUM(F9:G9)</f>
        <v>10000</v>
      </c>
      <c r="F9" s="7"/>
      <c r="G9" s="7">
        <v>10000</v>
      </c>
    </row>
    <row r="10" spans="1:16" x14ac:dyDescent="0.3">
      <c r="A10" s="5">
        <v>46202</v>
      </c>
      <c r="B10" s="6">
        <v>296</v>
      </c>
      <c r="C10" s="6" t="s">
        <v>356</v>
      </c>
      <c r="D10" s="6" t="s">
        <v>543</v>
      </c>
      <c r="E10" s="7">
        <f t="shared" si="0"/>
        <v>5000</v>
      </c>
      <c r="F10" s="7"/>
      <c r="G10" s="7">
        <v>5000</v>
      </c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6"/>
      <c r="B15" s="6"/>
      <c r="C15" s="6"/>
      <c r="D15" s="6"/>
      <c r="E15" s="7">
        <f>SUM(F15:G15)</f>
        <v>0</v>
      </c>
      <c r="F15" s="7"/>
      <c r="G15" s="7"/>
    </row>
    <row r="16" spans="1:16" x14ac:dyDescent="0.3">
      <c r="A16" s="6"/>
      <c r="B16" s="6"/>
      <c r="C16" s="6"/>
      <c r="D16" s="6"/>
      <c r="E16" s="7">
        <f>SUM(F16:G16)</f>
        <v>0</v>
      </c>
      <c r="F16" s="7"/>
      <c r="G16" s="7"/>
    </row>
    <row r="17" spans="1:7" x14ac:dyDescent="0.3">
      <c r="A17" s="106" t="s">
        <v>10</v>
      </c>
      <c r="B17" s="106"/>
      <c r="C17" s="106"/>
      <c r="D17" s="8"/>
      <c r="E17" s="9">
        <f>SUM(E6:E16)</f>
        <v>195297</v>
      </c>
      <c r="F17" s="9">
        <f>SUM(F6:F16)</f>
        <v>129757</v>
      </c>
      <c r="G17" s="9">
        <f>SUM(G6:G16)</f>
        <v>65540</v>
      </c>
    </row>
    <row r="29" spans="1:7" x14ac:dyDescent="0.3">
      <c r="C29" s="28"/>
    </row>
  </sheetData>
  <mergeCells count="2">
    <mergeCell ref="A17:C17"/>
    <mergeCell ref="A1:B1"/>
  </mergeCells>
  <hyperlinks>
    <hyperlink ref="A1:B1" location="Содержание!A1" display="Содержание!A1" xr:uid="{DBE3BEB1-FC86-4978-A7A0-CAAE9E952726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E7E2-3AD4-41CF-BE0F-99D188F64376}">
  <sheetPr>
    <tabColor theme="0" tint="-0.499984740745262"/>
  </sheetPr>
  <dimension ref="A1:P23"/>
  <sheetViews>
    <sheetView workbookViewId="0">
      <selection activeCell="C9" sqref="C9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.6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>
        <v>320</v>
      </c>
      <c r="C3" s="14"/>
      <c r="D3" s="15" t="s">
        <v>331</v>
      </c>
      <c r="E3" s="14">
        <v>2020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46048</v>
      </c>
      <c r="B6" s="6">
        <v>40</v>
      </c>
      <c r="C6" s="6" t="s">
        <v>324</v>
      </c>
      <c r="D6" s="6" t="s">
        <v>262</v>
      </c>
      <c r="E6" s="7">
        <f>SUM(F6:G6)</f>
        <v>100280</v>
      </c>
      <c r="F6" s="7">
        <v>41340</v>
      </c>
      <c r="G6" s="7">
        <v>58940</v>
      </c>
    </row>
    <row r="7" spans="1:16" x14ac:dyDescent="0.3">
      <c r="A7" s="5">
        <v>46113</v>
      </c>
      <c r="B7" s="6">
        <v>145</v>
      </c>
      <c r="C7" s="6" t="s">
        <v>324</v>
      </c>
      <c r="D7" s="6" t="s">
        <v>262</v>
      </c>
      <c r="E7" s="7">
        <f>SUM(F7:G7)</f>
        <v>88381</v>
      </c>
      <c r="F7" s="7">
        <v>13631</v>
      </c>
      <c r="G7" s="7">
        <v>74750</v>
      </c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188661</v>
      </c>
      <c r="F11" s="9">
        <f>SUM(F6:F10)</f>
        <v>54971</v>
      </c>
      <c r="G11" s="9">
        <f>SUM(G6:G10)</f>
        <v>133690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00EB4171-E03C-4E18-B3F7-7593659B114F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5959-96E6-4F46-934B-1DB9A29A7DA1}">
  <sheetPr>
    <tabColor theme="0" tint="-0.499984740745262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.6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3" t="s">
        <v>106</v>
      </c>
      <c r="C3" s="13" t="s">
        <v>107</v>
      </c>
      <c r="D3" s="27" t="s">
        <v>108</v>
      </c>
      <c r="E3" s="13">
        <v>2012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F0DF150A-FDBB-4058-A556-6899676E350A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5111-FFE4-49CC-A180-0CC9C76D690D}">
  <sheetPr>
    <tabColor theme="0" tint="-0.499984740745262"/>
  </sheetPr>
  <dimension ref="A1:P36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109</v>
      </c>
      <c r="C3" s="14" t="s">
        <v>110</v>
      </c>
      <c r="D3" s="15" t="s">
        <v>111</v>
      </c>
      <c r="E3" s="14">
        <v>2023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/>
      <c r="F6" s="7"/>
      <c r="G6" s="7"/>
    </row>
    <row r="7" spans="1:16" x14ac:dyDescent="0.3">
      <c r="A7" s="5"/>
      <c r="B7" s="6"/>
      <c r="C7" s="6"/>
      <c r="D7" s="6"/>
      <c r="E7" s="7"/>
      <c r="F7" s="7"/>
      <c r="G7" s="7"/>
    </row>
    <row r="8" spans="1:16" x14ac:dyDescent="0.3">
      <c r="A8" s="5">
        <v>46062</v>
      </c>
      <c r="B8" s="6" t="s">
        <v>353</v>
      </c>
      <c r="C8" s="6" t="s">
        <v>354</v>
      </c>
      <c r="D8" s="6" t="s">
        <v>355</v>
      </c>
      <c r="E8" s="7">
        <f>SUM(F8:G8)</f>
        <v>23350</v>
      </c>
      <c r="F8" s="7">
        <v>23350</v>
      </c>
      <c r="G8" s="7"/>
    </row>
    <row r="9" spans="1:16" x14ac:dyDescent="0.3">
      <c r="A9" s="5">
        <v>46255</v>
      </c>
      <c r="B9" s="6" t="s">
        <v>412</v>
      </c>
      <c r="C9" s="6" t="s">
        <v>413</v>
      </c>
      <c r="D9" s="6" t="s">
        <v>414</v>
      </c>
      <c r="E9" s="7">
        <f>SUM(F9:G9)</f>
        <v>33340</v>
      </c>
      <c r="F9" s="7"/>
      <c r="G9" s="7">
        <v>33340</v>
      </c>
    </row>
    <row r="10" spans="1:16" x14ac:dyDescent="0.3">
      <c r="A10" s="5">
        <v>46258</v>
      </c>
      <c r="B10" s="6" t="s">
        <v>417</v>
      </c>
      <c r="C10" s="6" t="s">
        <v>418</v>
      </c>
      <c r="D10" s="6" t="s">
        <v>419</v>
      </c>
      <c r="E10" s="7">
        <f t="shared" ref="E10:E22" si="0">SUM(F10:G10)</f>
        <v>132000</v>
      </c>
      <c r="F10" s="7">
        <v>132000</v>
      </c>
      <c r="G10" s="7"/>
    </row>
    <row r="11" spans="1:16" x14ac:dyDescent="0.3">
      <c r="A11" s="5">
        <v>46252</v>
      </c>
      <c r="B11" s="6" t="s">
        <v>420</v>
      </c>
      <c r="C11" s="6" t="s">
        <v>354</v>
      </c>
      <c r="D11" s="6" t="s">
        <v>421</v>
      </c>
      <c r="E11" s="7">
        <f t="shared" si="0"/>
        <v>288800</v>
      </c>
      <c r="F11" s="7">
        <v>288800</v>
      </c>
      <c r="G11" s="7"/>
    </row>
    <row r="12" spans="1:16" x14ac:dyDescent="0.3">
      <c r="A12" s="5">
        <v>46135</v>
      </c>
      <c r="B12" s="6">
        <v>1181</v>
      </c>
      <c r="C12" s="6" t="s">
        <v>479</v>
      </c>
      <c r="D12" s="6" t="s">
        <v>480</v>
      </c>
      <c r="E12" s="7">
        <f t="shared" si="0"/>
        <v>22490</v>
      </c>
      <c r="F12" s="7"/>
      <c r="G12" s="7">
        <v>22490</v>
      </c>
    </row>
    <row r="13" spans="1:16" x14ac:dyDescent="0.3">
      <c r="A13" s="5">
        <v>46156</v>
      </c>
      <c r="B13" s="6">
        <v>1378</v>
      </c>
      <c r="C13" s="6" t="s">
        <v>479</v>
      </c>
      <c r="D13" s="6" t="s">
        <v>508</v>
      </c>
      <c r="E13" s="7">
        <f t="shared" si="0"/>
        <v>11810</v>
      </c>
      <c r="F13" s="7">
        <v>5650</v>
      </c>
      <c r="G13" s="7">
        <v>6160</v>
      </c>
    </row>
    <row r="14" spans="1:16" x14ac:dyDescent="0.3">
      <c r="A14" s="5">
        <v>46141</v>
      </c>
      <c r="B14" s="6" t="s">
        <v>513</v>
      </c>
      <c r="C14" s="6" t="s">
        <v>354</v>
      </c>
      <c r="D14" s="6" t="s">
        <v>514</v>
      </c>
      <c r="E14" s="7">
        <f t="shared" si="0"/>
        <v>11400</v>
      </c>
      <c r="F14" s="7">
        <v>11400</v>
      </c>
      <c r="G14" s="7"/>
    </row>
    <row r="15" spans="1:16" x14ac:dyDescent="0.3">
      <c r="A15" s="5">
        <v>46209</v>
      </c>
      <c r="B15" s="6">
        <v>1916</v>
      </c>
      <c r="C15" s="6" t="s">
        <v>479</v>
      </c>
      <c r="D15" s="6" t="s">
        <v>547</v>
      </c>
      <c r="E15" s="7">
        <f t="shared" si="0"/>
        <v>14060</v>
      </c>
      <c r="F15" s="7"/>
      <c r="G15" s="7">
        <v>14060</v>
      </c>
    </row>
    <row r="16" spans="1:16" x14ac:dyDescent="0.3">
      <c r="A16" s="5">
        <v>46241</v>
      </c>
      <c r="B16" s="6">
        <v>903</v>
      </c>
      <c r="C16" s="6" t="s">
        <v>354</v>
      </c>
      <c r="D16" s="6" t="s">
        <v>580</v>
      </c>
      <c r="E16" s="7">
        <f t="shared" si="0"/>
        <v>62900</v>
      </c>
      <c r="F16" s="7">
        <v>62900</v>
      </c>
      <c r="G16" s="7"/>
    </row>
    <row r="17" spans="1:7" x14ac:dyDescent="0.3">
      <c r="A17" s="5">
        <v>46252</v>
      </c>
      <c r="B17" s="6">
        <v>953</v>
      </c>
      <c r="C17" s="6" t="s">
        <v>354</v>
      </c>
      <c r="D17" s="6" t="s">
        <v>421</v>
      </c>
      <c r="E17" s="7">
        <f t="shared" si="0"/>
        <v>288800</v>
      </c>
      <c r="F17" s="7">
        <v>288800</v>
      </c>
      <c r="G17" s="7"/>
    </row>
    <row r="18" spans="1:7" x14ac:dyDescent="0.3">
      <c r="A18" s="5">
        <v>46255</v>
      </c>
      <c r="B18" s="6">
        <v>970</v>
      </c>
      <c r="C18" s="6" t="s">
        <v>354</v>
      </c>
      <c r="D18" s="6" t="s">
        <v>588</v>
      </c>
      <c r="E18" s="7">
        <f t="shared" si="0"/>
        <v>29600</v>
      </c>
      <c r="F18" s="7">
        <v>29600</v>
      </c>
      <c r="G18" s="7"/>
    </row>
    <row r="19" spans="1:7" x14ac:dyDescent="0.3">
      <c r="A19" s="5">
        <v>46265</v>
      </c>
      <c r="B19" s="6">
        <v>379</v>
      </c>
      <c r="C19" s="6" t="s">
        <v>596</v>
      </c>
      <c r="D19" s="6" t="s">
        <v>597</v>
      </c>
      <c r="E19" s="7">
        <f t="shared" si="0"/>
        <v>60000</v>
      </c>
      <c r="F19" s="7"/>
      <c r="G19" s="7">
        <v>60000</v>
      </c>
    </row>
    <row r="20" spans="1:7" x14ac:dyDescent="0.3">
      <c r="A20" s="5"/>
      <c r="B20" s="6"/>
      <c r="C20" s="6"/>
      <c r="D20" s="6"/>
      <c r="E20" s="7">
        <f t="shared" si="0"/>
        <v>0</v>
      </c>
      <c r="F20" s="7"/>
      <c r="G20" s="7"/>
    </row>
    <row r="21" spans="1:7" x14ac:dyDescent="0.3">
      <c r="A21" s="5"/>
      <c r="B21" s="6"/>
      <c r="C21" s="6"/>
      <c r="D21" s="6"/>
      <c r="E21" s="7">
        <f t="shared" si="0"/>
        <v>0</v>
      </c>
      <c r="F21" s="7"/>
      <c r="G21" s="7"/>
    </row>
    <row r="22" spans="1:7" x14ac:dyDescent="0.3">
      <c r="A22" s="5"/>
      <c r="B22" s="6"/>
      <c r="C22" s="6"/>
      <c r="D22" s="6"/>
      <c r="E22" s="7">
        <f t="shared" si="0"/>
        <v>0</v>
      </c>
      <c r="F22" s="7"/>
      <c r="G22" s="7"/>
    </row>
    <row r="23" spans="1:7" x14ac:dyDescent="0.3">
      <c r="A23" s="6"/>
      <c r="B23" s="6"/>
      <c r="C23" s="6"/>
      <c r="D23" s="6"/>
      <c r="E23" s="7">
        <f>SUM(F23:G23)</f>
        <v>0</v>
      </c>
      <c r="F23" s="7"/>
      <c r="G23" s="7"/>
    </row>
    <row r="24" spans="1:7" x14ac:dyDescent="0.3">
      <c r="A24" s="106" t="s">
        <v>10</v>
      </c>
      <c r="B24" s="106"/>
      <c r="C24" s="106"/>
      <c r="D24" s="8"/>
      <c r="E24" s="9">
        <f>SUM(E6:E23)</f>
        <v>978550</v>
      </c>
      <c r="F24" s="9">
        <f>SUM(F6:F23)</f>
        <v>842500</v>
      </c>
      <c r="G24" s="9">
        <f>SUM(G6:G23)</f>
        <v>136050</v>
      </c>
    </row>
    <row r="36" spans="3:3" x14ac:dyDescent="0.3">
      <c r="C36" s="28"/>
    </row>
  </sheetData>
  <mergeCells count="2">
    <mergeCell ref="A24:C24"/>
    <mergeCell ref="A1:B1"/>
  </mergeCells>
  <hyperlinks>
    <hyperlink ref="A1:B1" location="Содержание!A1" display="Содержание!A1" xr:uid="{1725AC26-66C6-4C97-ADF0-5E661A7E6AE6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36B4-8D63-47B7-9294-3094A9E2332C}">
  <sheetPr>
    <tabColor theme="0" tint="-0.499984740745262"/>
  </sheetPr>
  <dimension ref="A1:P33"/>
  <sheetViews>
    <sheetView workbookViewId="0">
      <selection activeCell="F18" sqref="F18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.600000000000001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112</v>
      </c>
      <c r="C3" s="14" t="s">
        <v>113</v>
      </c>
      <c r="D3" s="15" t="s">
        <v>114</v>
      </c>
      <c r="E3" s="14">
        <v>2016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45992</v>
      </c>
      <c r="B6" s="6"/>
      <c r="C6" s="6" t="s">
        <v>328</v>
      </c>
      <c r="D6" s="6" t="s">
        <v>329</v>
      </c>
      <c r="E6" s="7">
        <f>SUM(F6:G6)</f>
        <v>345000</v>
      </c>
      <c r="F6" s="7"/>
      <c r="G6" s="7">
        <v>345000</v>
      </c>
    </row>
    <row r="7" spans="1:16" x14ac:dyDescent="0.3">
      <c r="A7" s="5">
        <v>46119</v>
      </c>
      <c r="B7" s="6" t="s">
        <v>465</v>
      </c>
      <c r="C7" s="6" t="s">
        <v>354</v>
      </c>
      <c r="D7" s="6" t="s">
        <v>466</v>
      </c>
      <c r="E7" s="7">
        <f t="shared" ref="E7:E16" si="0">SUM(F7:G7)</f>
        <v>48200</v>
      </c>
      <c r="F7" s="7">
        <v>48200</v>
      </c>
      <c r="G7" s="7"/>
    </row>
    <row r="8" spans="1:16" x14ac:dyDescent="0.3">
      <c r="A8" s="5">
        <v>46120</v>
      </c>
      <c r="B8" s="6" t="s">
        <v>467</v>
      </c>
      <c r="C8" s="6" t="s">
        <v>354</v>
      </c>
      <c r="D8" s="6" t="s">
        <v>468</v>
      </c>
      <c r="E8" s="7">
        <f t="shared" si="0"/>
        <v>2200</v>
      </c>
      <c r="F8" s="7">
        <v>2200</v>
      </c>
      <c r="G8" s="7"/>
    </row>
    <row r="9" spans="1:16" x14ac:dyDescent="0.3">
      <c r="A9" s="5">
        <v>46163</v>
      </c>
      <c r="B9" s="6" t="s">
        <v>517</v>
      </c>
      <c r="C9" s="6" t="s">
        <v>354</v>
      </c>
      <c r="D9" s="6" t="s">
        <v>518</v>
      </c>
      <c r="E9" s="7">
        <f t="shared" si="0"/>
        <v>12000</v>
      </c>
      <c r="F9" s="7">
        <v>12000</v>
      </c>
      <c r="G9" s="7"/>
    </row>
    <row r="10" spans="1:16" x14ac:dyDescent="0.3">
      <c r="A10" s="5">
        <v>46169</v>
      </c>
      <c r="B10" s="6">
        <v>40</v>
      </c>
      <c r="C10" s="6" t="s">
        <v>522</v>
      </c>
      <c r="D10" s="6" t="s">
        <v>422</v>
      </c>
      <c r="E10" s="7">
        <f t="shared" si="0"/>
        <v>10000</v>
      </c>
      <c r="F10" s="7"/>
      <c r="G10" s="7">
        <v>10000</v>
      </c>
    </row>
    <row r="11" spans="1:16" x14ac:dyDescent="0.3">
      <c r="A11" s="5">
        <v>46210</v>
      </c>
      <c r="B11" s="6">
        <v>2644</v>
      </c>
      <c r="C11" s="6" t="s">
        <v>551</v>
      </c>
      <c r="D11" s="6" t="s">
        <v>552</v>
      </c>
      <c r="E11" s="7">
        <f t="shared" si="0"/>
        <v>12560</v>
      </c>
      <c r="F11" s="7">
        <v>12560</v>
      </c>
      <c r="G11" s="7"/>
    </row>
    <row r="12" spans="1:16" x14ac:dyDescent="0.3">
      <c r="A12" s="5">
        <v>46213</v>
      </c>
      <c r="B12" s="6">
        <v>2713</v>
      </c>
      <c r="C12" s="6" t="s">
        <v>551</v>
      </c>
      <c r="D12" s="6" t="s">
        <v>553</v>
      </c>
      <c r="E12" s="7">
        <f t="shared" si="0"/>
        <v>53960</v>
      </c>
      <c r="F12" s="7">
        <v>53960</v>
      </c>
      <c r="G12" s="7"/>
    </row>
    <row r="13" spans="1:16" x14ac:dyDescent="0.3">
      <c r="A13" s="5">
        <v>46218</v>
      </c>
      <c r="B13" s="6">
        <v>3988</v>
      </c>
      <c r="C13" s="6" t="s">
        <v>554</v>
      </c>
      <c r="D13" s="6" t="s">
        <v>555</v>
      </c>
      <c r="E13" s="7">
        <f t="shared" si="0"/>
        <v>72952</v>
      </c>
      <c r="F13" s="7"/>
      <c r="G13" s="7">
        <v>72952</v>
      </c>
    </row>
    <row r="14" spans="1:16" x14ac:dyDescent="0.3">
      <c r="A14" s="5">
        <v>46231</v>
      </c>
      <c r="B14" s="6">
        <v>331</v>
      </c>
      <c r="C14" s="6" t="s">
        <v>324</v>
      </c>
      <c r="D14" s="6" t="s">
        <v>565</v>
      </c>
      <c r="E14" s="7">
        <f t="shared" si="0"/>
        <v>46920</v>
      </c>
      <c r="F14" s="7">
        <v>820</v>
      </c>
      <c r="G14" s="7">
        <v>46100</v>
      </c>
    </row>
    <row r="15" spans="1:16" x14ac:dyDescent="0.3">
      <c r="A15" s="5">
        <v>46238</v>
      </c>
      <c r="B15" s="6">
        <v>862</v>
      </c>
      <c r="C15" s="6" t="s">
        <v>570</v>
      </c>
      <c r="D15" s="6" t="s">
        <v>569</v>
      </c>
      <c r="E15" s="7">
        <f t="shared" si="0"/>
        <v>15582</v>
      </c>
      <c r="F15" s="7"/>
      <c r="G15" s="7">
        <v>15582</v>
      </c>
    </row>
    <row r="16" spans="1:16" x14ac:dyDescent="0.3">
      <c r="A16" s="5">
        <v>46220</v>
      </c>
      <c r="B16" s="6">
        <v>1399</v>
      </c>
      <c r="C16" s="6" t="s">
        <v>354</v>
      </c>
      <c r="D16" s="6" t="s">
        <v>574</v>
      </c>
      <c r="E16" s="7">
        <f t="shared" si="0"/>
        <v>8080</v>
      </c>
      <c r="F16" s="7">
        <v>8080</v>
      </c>
      <c r="G16" s="7"/>
    </row>
    <row r="17" spans="1:7" x14ac:dyDescent="0.3">
      <c r="A17" s="5">
        <v>46237</v>
      </c>
      <c r="B17" s="6">
        <v>876</v>
      </c>
      <c r="C17" s="6" t="s">
        <v>354</v>
      </c>
      <c r="D17" s="6" t="s">
        <v>575</v>
      </c>
      <c r="E17" s="7">
        <f>SUM(F17:G17)</f>
        <v>8400</v>
      </c>
      <c r="F17" s="7">
        <v>8400</v>
      </c>
      <c r="G17" s="7"/>
    </row>
    <row r="18" spans="1:7" x14ac:dyDescent="0.3">
      <c r="A18" s="5">
        <v>46229</v>
      </c>
      <c r="B18" s="6">
        <v>1414</v>
      </c>
      <c r="C18" s="6" t="s">
        <v>354</v>
      </c>
      <c r="D18" s="6" t="s">
        <v>576</v>
      </c>
      <c r="E18" s="7">
        <f>SUM(F18:G18)</f>
        <v>7500</v>
      </c>
      <c r="F18" s="7">
        <v>7500</v>
      </c>
      <c r="G18" s="7"/>
    </row>
    <row r="19" spans="1:7" x14ac:dyDescent="0.3">
      <c r="A19" s="6"/>
      <c r="B19" s="6"/>
      <c r="C19" s="6"/>
      <c r="D19" s="6"/>
      <c r="E19" s="7">
        <f>SUM(F19:G19)</f>
        <v>0</v>
      </c>
      <c r="F19" s="7"/>
      <c r="G19" s="7"/>
    </row>
    <row r="20" spans="1:7" x14ac:dyDescent="0.3">
      <c r="A20" s="6"/>
      <c r="B20" s="6"/>
      <c r="C20" s="6"/>
      <c r="D20" s="6"/>
      <c r="E20" s="7">
        <f>SUM(F20:G20)</f>
        <v>0</v>
      </c>
      <c r="F20" s="7"/>
      <c r="G20" s="7"/>
    </row>
    <row r="21" spans="1:7" x14ac:dyDescent="0.3">
      <c r="A21" s="106" t="s">
        <v>10</v>
      </c>
      <c r="B21" s="106"/>
      <c r="C21" s="106"/>
      <c r="D21" s="8"/>
      <c r="E21" s="9">
        <f>SUM(E6:E20)</f>
        <v>643354</v>
      </c>
      <c r="F21" s="9">
        <f>SUM(F6:F20)</f>
        <v>153720</v>
      </c>
      <c r="G21" s="9">
        <f>SUM(G6:G20)</f>
        <v>489634</v>
      </c>
    </row>
    <row r="33" spans="3:3" x14ac:dyDescent="0.3">
      <c r="C33" s="28"/>
    </row>
  </sheetData>
  <mergeCells count="2">
    <mergeCell ref="A21:C21"/>
    <mergeCell ref="A1:B1"/>
  </mergeCells>
  <hyperlinks>
    <hyperlink ref="A1:B1" location="Содержание!A1" display="Содержание!A1" xr:uid="{8E02E197-EB41-4A32-916D-27953D2A78C5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5D59-6DBD-42EE-8D80-5A0D20F58F65}">
  <sheetPr>
    <tabColor theme="0" tint="-0.499984740745262"/>
  </sheetPr>
  <dimension ref="A1:P29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6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.6" customHeight="1" x14ac:dyDescent="0.3">
      <c r="A1" s="107" t="s">
        <v>231</v>
      </c>
      <c r="B1" s="107"/>
    </row>
    <row r="2" spans="1:16" hidden="1" x14ac:dyDescent="0.3"/>
    <row r="3" spans="1:16" ht="40.200000000000003" customHeight="1" x14ac:dyDescent="0.3">
      <c r="B3" s="25" t="s">
        <v>115</v>
      </c>
      <c r="C3" s="25" t="s">
        <v>116</v>
      </c>
      <c r="D3" s="26" t="s">
        <v>117</v>
      </c>
      <c r="E3" s="25">
        <v>2021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46060</v>
      </c>
      <c r="B6" s="6" t="s">
        <v>427</v>
      </c>
      <c r="C6" s="6" t="s">
        <v>354</v>
      </c>
      <c r="D6" s="6" t="s">
        <v>428</v>
      </c>
      <c r="E6" s="7">
        <f>SUM(F6:G6)</f>
        <v>2000</v>
      </c>
      <c r="F6" s="7">
        <v>2000</v>
      </c>
      <c r="G6" s="7"/>
    </row>
    <row r="7" spans="1:16" x14ac:dyDescent="0.3">
      <c r="A7" s="5">
        <v>46108</v>
      </c>
      <c r="B7" s="6">
        <v>132</v>
      </c>
      <c r="C7" s="6" t="s">
        <v>449</v>
      </c>
      <c r="D7" s="6" t="s">
        <v>450</v>
      </c>
      <c r="E7" s="7">
        <f>SUM(F7:G7)</f>
        <v>20200</v>
      </c>
      <c r="F7" s="7">
        <v>20200</v>
      </c>
      <c r="G7" s="7"/>
    </row>
    <row r="8" spans="1:16" x14ac:dyDescent="0.3">
      <c r="A8" s="5">
        <v>46112</v>
      </c>
      <c r="B8" s="6" t="s">
        <v>456</v>
      </c>
      <c r="C8" s="6" t="s">
        <v>354</v>
      </c>
      <c r="D8" s="6" t="s">
        <v>457</v>
      </c>
      <c r="E8" s="7">
        <f>SUM(F8:G8)</f>
        <v>80100</v>
      </c>
      <c r="F8" s="7">
        <v>80100</v>
      </c>
      <c r="G8" s="7"/>
    </row>
    <row r="9" spans="1:16" x14ac:dyDescent="0.3">
      <c r="A9" s="5">
        <v>46129</v>
      </c>
      <c r="B9" s="6" t="s">
        <v>515</v>
      </c>
      <c r="C9" s="6" t="s">
        <v>354</v>
      </c>
      <c r="D9" s="6" t="s">
        <v>516</v>
      </c>
      <c r="E9" s="7">
        <f t="shared" ref="E9:E14" si="0">SUM(F9:G9)</f>
        <v>6500</v>
      </c>
      <c r="F9" s="7">
        <v>6500</v>
      </c>
      <c r="G9" s="7"/>
    </row>
    <row r="10" spans="1:16" x14ac:dyDescent="0.3">
      <c r="A10" s="5">
        <v>46213</v>
      </c>
      <c r="B10" s="6">
        <v>3076</v>
      </c>
      <c r="C10" s="6" t="s">
        <v>549</v>
      </c>
      <c r="D10" s="6" t="s">
        <v>550</v>
      </c>
      <c r="E10" s="7">
        <f t="shared" si="0"/>
        <v>6200</v>
      </c>
      <c r="F10" s="7">
        <v>6200</v>
      </c>
      <c r="G10" s="7"/>
    </row>
    <row r="11" spans="1:16" x14ac:dyDescent="0.3">
      <c r="A11" s="5">
        <v>46216</v>
      </c>
      <c r="B11" s="6">
        <v>1339</v>
      </c>
      <c r="C11" s="6" t="s">
        <v>354</v>
      </c>
      <c r="D11" s="6" t="s">
        <v>516</v>
      </c>
      <c r="E11" s="7">
        <f t="shared" si="0"/>
        <v>9450</v>
      </c>
      <c r="F11" s="7">
        <v>9450</v>
      </c>
      <c r="G11" s="7"/>
    </row>
    <row r="12" spans="1:16" x14ac:dyDescent="0.3">
      <c r="A12" s="5">
        <v>46248</v>
      </c>
      <c r="B12" s="6">
        <v>606271</v>
      </c>
      <c r="C12" s="6" t="s">
        <v>582</v>
      </c>
      <c r="D12" s="6" t="s">
        <v>583</v>
      </c>
      <c r="E12" s="7">
        <f t="shared" si="0"/>
        <v>44265</v>
      </c>
      <c r="F12" s="7"/>
      <c r="G12" s="7">
        <v>44265</v>
      </c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6"/>
      <c r="B15" s="6"/>
      <c r="C15" s="6"/>
      <c r="D15" s="6"/>
      <c r="E15" s="7">
        <f>SUM(F15:G15)</f>
        <v>0</v>
      </c>
      <c r="F15" s="7"/>
      <c r="G15" s="7"/>
    </row>
    <row r="16" spans="1:16" x14ac:dyDescent="0.3">
      <c r="A16" s="6"/>
      <c r="B16" s="6"/>
      <c r="C16" s="6"/>
      <c r="D16" s="6"/>
      <c r="E16" s="7">
        <f>SUM(F16:G16)</f>
        <v>0</v>
      </c>
      <c r="F16" s="7"/>
      <c r="G16" s="7"/>
    </row>
    <row r="17" spans="1:7" x14ac:dyDescent="0.3">
      <c r="A17" s="106" t="s">
        <v>10</v>
      </c>
      <c r="B17" s="106"/>
      <c r="C17" s="106"/>
      <c r="D17" s="8"/>
      <c r="E17" s="9">
        <f>SUM(E6:E16)</f>
        <v>168715</v>
      </c>
      <c r="F17" s="9">
        <f>SUM(F6:F16)</f>
        <v>124450</v>
      </c>
      <c r="G17" s="9">
        <f>SUM(G6:G16)</f>
        <v>44265</v>
      </c>
    </row>
    <row r="29" spans="1:7" x14ac:dyDescent="0.3">
      <c r="C29" s="28"/>
    </row>
  </sheetData>
  <mergeCells count="2">
    <mergeCell ref="A17:C17"/>
    <mergeCell ref="A1:B1"/>
  </mergeCells>
  <hyperlinks>
    <hyperlink ref="A1:B1" location="Содержание!A1" display="Содержание!A1" xr:uid="{7AF47F13-8132-4F7A-8360-BABC36BDF97F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6349-92C6-40A6-AEEA-34B1AFC450EA}">
  <sheetPr>
    <tabColor theme="0" tint="-0.499984740745262"/>
  </sheetPr>
  <dimension ref="A1:P30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1.6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118</v>
      </c>
      <c r="C3" s="14" t="s">
        <v>119</v>
      </c>
      <c r="D3" s="15" t="s">
        <v>120</v>
      </c>
      <c r="E3" s="14">
        <v>2023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46118</v>
      </c>
      <c r="B6" s="6">
        <v>156</v>
      </c>
      <c r="C6" s="6" t="s">
        <v>356</v>
      </c>
      <c r="D6" s="6" t="s">
        <v>378</v>
      </c>
      <c r="E6" s="7">
        <f>SUM(F6:G6)</f>
        <v>141574</v>
      </c>
      <c r="F6" s="7">
        <v>8774</v>
      </c>
      <c r="G6" s="7">
        <v>132800</v>
      </c>
    </row>
    <row r="7" spans="1:16" x14ac:dyDescent="0.3">
      <c r="A7" s="5">
        <v>46195</v>
      </c>
      <c r="B7" s="6">
        <v>526</v>
      </c>
      <c r="C7" s="6" t="s">
        <v>538</v>
      </c>
      <c r="D7" s="6" t="s">
        <v>539</v>
      </c>
      <c r="E7" s="7">
        <f>SUM(F7:G7)</f>
        <v>71520</v>
      </c>
      <c r="F7" s="7">
        <v>71520</v>
      </c>
      <c r="G7" s="7"/>
    </row>
    <row r="8" spans="1:16" x14ac:dyDescent="0.3">
      <c r="A8" s="5">
        <v>46204</v>
      </c>
      <c r="B8" s="6">
        <v>67</v>
      </c>
      <c r="C8" s="6" t="s">
        <v>522</v>
      </c>
      <c r="D8" s="6" t="s">
        <v>524</v>
      </c>
      <c r="E8" s="7">
        <f>SUM(F8:G8)</f>
        <v>16000</v>
      </c>
      <c r="F8" s="7"/>
      <c r="G8" s="7">
        <v>16000</v>
      </c>
    </row>
    <row r="9" spans="1:16" x14ac:dyDescent="0.3">
      <c r="A9" s="5">
        <v>46224</v>
      </c>
      <c r="B9" s="6">
        <v>6</v>
      </c>
      <c r="C9" s="6" t="s">
        <v>562</v>
      </c>
      <c r="D9" s="6" t="s">
        <v>563</v>
      </c>
      <c r="E9" s="7">
        <f t="shared" ref="E9:E15" si="0">SUM(F9:G9)</f>
        <v>14139.72</v>
      </c>
      <c r="F9" s="7">
        <v>14139.72</v>
      </c>
      <c r="G9" s="7"/>
    </row>
    <row r="10" spans="1:16" x14ac:dyDescent="0.3">
      <c r="A10" s="5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6"/>
      <c r="B16" s="6"/>
      <c r="C16" s="6"/>
      <c r="D16" s="6"/>
      <c r="E16" s="7">
        <f>SUM(F16:G16)</f>
        <v>0</v>
      </c>
      <c r="F16" s="7"/>
      <c r="G16" s="7"/>
    </row>
    <row r="17" spans="1:7" x14ac:dyDescent="0.3">
      <c r="A17" s="6"/>
      <c r="B17" s="6"/>
      <c r="C17" s="6"/>
      <c r="D17" s="6"/>
      <c r="E17" s="7">
        <f>SUM(F17:G17)</f>
        <v>0</v>
      </c>
      <c r="F17" s="7"/>
      <c r="G17" s="7"/>
    </row>
    <row r="18" spans="1:7" x14ac:dyDescent="0.3">
      <c r="A18" s="106" t="s">
        <v>10</v>
      </c>
      <c r="B18" s="106"/>
      <c r="C18" s="106"/>
      <c r="D18" s="8"/>
      <c r="E18" s="9">
        <f>SUM(E6:E17)</f>
        <v>243233.72</v>
      </c>
      <c r="F18" s="9">
        <f>SUM(F6:F17)</f>
        <v>94433.72</v>
      </c>
      <c r="G18" s="9">
        <f>SUM(G6:G17)</f>
        <v>148800</v>
      </c>
    </row>
    <row r="30" spans="1:7" x14ac:dyDescent="0.3">
      <c r="C30" s="28"/>
    </row>
  </sheetData>
  <mergeCells count="2">
    <mergeCell ref="A18:C18"/>
    <mergeCell ref="A1:B1"/>
  </mergeCells>
  <hyperlinks>
    <hyperlink ref="A1:B1" location="Содержание!A1" display="Содержание!A1" xr:uid="{D0031004-1544-458D-8D85-5F29A2B1F24E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8CE2-AE33-408A-9CF5-B54CF159BC07}">
  <sheetPr>
    <tabColor rgb="FFFFFF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7.399999999999999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121</v>
      </c>
      <c r="C3" s="14" t="s">
        <v>122</v>
      </c>
      <c r="D3" s="15" t="s">
        <v>123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46051</v>
      </c>
      <c r="B6" s="6">
        <v>458</v>
      </c>
      <c r="C6" s="6" t="s">
        <v>423</v>
      </c>
      <c r="D6" s="6" t="s">
        <v>424</v>
      </c>
      <c r="E6" s="7">
        <f>SUM(F6:G6)</f>
        <v>23100</v>
      </c>
      <c r="F6" s="7">
        <v>23100</v>
      </c>
      <c r="G6" s="7"/>
    </row>
    <row r="7" spans="1:16" x14ac:dyDescent="0.3">
      <c r="A7" s="5">
        <v>46203</v>
      </c>
      <c r="B7" s="6">
        <v>29</v>
      </c>
      <c r="C7" s="6" t="s">
        <v>545</v>
      </c>
      <c r="D7" s="6" t="s">
        <v>546</v>
      </c>
      <c r="E7" s="7">
        <f>SUM(F7:G7)</f>
        <v>38100</v>
      </c>
      <c r="F7" s="7">
        <v>38100</v>
      </c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61200</v>
      </c>
      <c r="F11" s="9">
        <f>SUM(F6:F10)</f>
        <v>61200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52FEB8FA-A61B-41FE-91E2-4CB1D3625969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618A-4C63-4299-94DF-A5F540F753F0}">
  <sheetPr>
    <tabColor rgb="FFFFFF00"/>
  </sheetPr>
  <dimension ref="A1:P23"/>
  <sheetViews>
    <sheetView workbookViewId="0">
      <selection activeCell="A6" sqref="A6:F6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9.2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124</v>
      </c>
      <c r="C3" s="13" t="s">
        <v>125</v>
      </c>
      <c r="D3" s="15" t="s">
        <v>123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46051</v>
      </c>
      <c r="B6" s="6">
        <v>458</v>
      </c>
      <c r="C6" s="6" t="s">
        <v>423</v>
      </c>
      <c r="D6" s="6" t="s">
        <v>424</v>
      </c>
      <c r="E6" s="7">
        <f>SUM(F6:G6)</f>
        <v>23100</v>
      </c>
      <c r="F6" s="7">
        <v>23100</v>
      </c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23100</v>
      </c>
      <c r="F11" s="9">
        <f>SUM(F6:F10)</f>
        <v>23100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F21439EC-5686-4CEE-894A-BDA47B4FB75A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A360-F0E4-4D15-AE31-5AE6D72A3FB6}">
  <sheetPr>
    <tabColor rgb="FFFFFF00"/>
  </sheetPr>
  <dimension ref="A1:P26"/>
  <sheetViews>
    <sheetView zoomScale="90" zoomScaleNormal="90"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4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20" t="s">
        <v>126</v>
      </c>
      <c r="C3" s="24" t="s">
        <v>128</v>
      </c>
      <c r="D3" s="15" t="s">
        <v>127</v>
      </c>
      <c r="E3" s="20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45699</v>
      </c>
      <c r="B6" s="6" t="s">
        <v>275</v>
      </c>
      <c r="C6" s="6" t="s">
        <v>276</v>
      </c>
      <c r="D6" s="6" t="s">
        <v>277</v>
      </c>
      <c r="E6" s="7">
        <f>SUM(F6:G6)</f>
        <v>160000</v>
      </c>
      <c r="F6" s="7">
        <v>160000</v>
      </c>
      <c r="G6" s="7"/>
    </row>
    <row r="7" spans="1:16" x14ac:dyDescent="0.3">
      <c r="A7" s="5">
        <v>46056</v>
      </c>
      <c r="B7" s="6">
        <v>210</v>
      </c>
      <c r="C7" s="6" t="s">
        <v>345</v>
      </c>
      <c r="D7" s="6" t="s">
        <v>346</v>
      </c>
      <c r="E7" s="7">
        <f>SUM(F7:G7)</f>
        <v>77400</v>
      </c>
      <c r="F7" s="7">
        <v>77400</v>
      </c>
      <c r="G7" s="7"/>
    </row>
    <row r="8" spans="1:16" x14ac:dyDescent="0.3">
      <c r="A8" s="5">
        <v>46072</v>
      </c>
      <c r="B8" s="6">
        <v>288</v>
      </c>
      <c r="C8" s="6" t="s">
        <v>345</v>
      </c>
      <c r="D8" s="6" t="s">
        <v>360</v>
      </c>
      <c r="E8" s="7">
        <f>SUM(F8:G8)</f>
        <v>77400</v>
      </c>
      <c r="F8" s="7">
        <v>77400</v>
      </c>
      <c r="G8" s="7"/>
    </row>
    <row r="9" spans="1:16" x14ac:dyDescent="0.3">
      <c r="A9" s="5">
        <v>46050</v>
      </c>
      <c r="B9" s="6">
        <v>65</v>
      </c>
      <c r="C9" s="6" t="s">
        <v>252</v>
      </c>
      <c r="D9" s="6" t="s">
        <v>422</v>
      </c>
      <c r="E9" s="7">
        <f t="shared" ref="E9:E10" si="0">SUM(F9:G9)</f>
        <v>13000</v>
      </c>
      <c r="F9" s="7"/>
      <c r="G9" s="7">
        <v>13000</v>
      </c>
    </row>
    <row r="10" spans="1:16" x14ac:dyDescent="0.3">
      <c r="A10" s="5">
        <v>46051</v>
      </c>
      <c r="B10" s="6">
        <v>458</v>
      </c>
      <c r="C10" s="6" t="s">
        <v>423</v>
      </c>
      <c r="D10" s="6" t="s">
        <v>424</v>
      </c>
      <c r="E10" s="7">
        <f t="shared" si="0"/>
        <v>26500</v>
      </c>
      <c r="F10" s="7">
        <v>26500</v>
      </c>
      <c r="G10" s="7"/>
    </row>
    <row r="11" spans="1:16" x14ac:dyDescent="0.3">
      <c r="A11" s="5"/>
      <c r="B11" s="6"/>
      <c r="C11" s="6"/>
      <c r="D11" s="6"/>
      <c r="E11" s="7"/>
      <c r="F11" s="7"/>
      <c r="G11" s="7"/>
    </row>
    <row r="12" spans="1:16" x14ac:dyDescent="0.3">
      <c r="A12" s="6"/>
      <c r="B12" s="6"/>
      <c r="C12" s="6"/>
      <c r="D12" s="6"/>
      <c r="E12" s="7">
        <f>SUM(F12:G12)</f>
        <v>0</v>
      </c>
      <c r="F12" s="7"/>
      <c r="G12" s="7"/>
    </row>
    <row r="13" spans="1:16" x14ac:dyDescent="0.3">
      <c r="A13" s="6"/>
      <c r="B13" s="6"/>
      <c r="C13" s="6"/>
      <c r="D13" s="6"/>
      <c r="E13" s="7">
        <f>SUM(F13:G13)</f>
        <v>0</v>
      </c>
      <c r="F13" s="7"/>
      <c r="G13" s="7"/>
    </row>
    <row r="14" spans="1:16" x14ac:dyDescent="0.3">
      <c r="A14" s="106" t="s">
        <v>10</v>
      </c>
      <c r="B14" s="106"/>
      <c r="C14" s="106"/>
      <c r="D14" s="8"/>
      <c r="E14" s="9">
        <f>SUM(E6:E13)</f>
        <v>354300</v>
      </c>
      <c r="F14" s="9">
        <f>SUM(F6:F13)</f>
        <v>341300</v>
      </c>
      <c r="G14" s="9">
        <f>SUM(G6:G13)</f>
        <v>13000</v>
      </c>
    </row>
    <row r="26" spans="3:3" x14ac:dyDescent="0.3">
      <c r="C26" s="28"/>
    </row>
  </sheetData>
  <mergeCells count="2">
    <mergeCell ref="A14:C14"/>
    <mergeCell ref="A1:B1"/>
  </mergeCells>
  <hyperlinks>
    <hyperlink ref="A1:B1" location="Содержание!A1" display="Содержание!A1" xr:uid="{7DAE38FE-5F2E-42A3-9057-235B4C907673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4882-E8A1-4961-AC78-871113B3F99C}">
  <sheetPr>
    <tabColor rgb="FFFFFF00"/>
  </sheetPr>
  <dimension ref="A1:P27"/>
  <sheetViews>
    <sheetView workbookViewId="0">
      <selection activeCell="G13" sqref="G13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7.399999999999999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129</v>
      </c>
      <c r="C3" s="14" t="s">
        <v>130</v>
      </c>
      <c r="D3" s="15" t="s">
        <v>131</v>
      </c>
      <c r="E3" s="14">
        <v>2018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45524</v>
      </c>
      <c r="B6" s="6">
        <v>35642</v>
      </c>
      <c r="C6" s="6" t="s">
        <v>250</v>
      </c>
      <c r="D6" s="6" t="s">
        <v>251</v>
      </c>
      <c r="E6" s="7">
        <f>SUM(F6:G6)</f>
        <v>910683.6</v>
      </c>
      <c r="F6" s="7">
        <v>910683.6</v>
      </c>
      <c r="G6" s="7"/>
    </row>
    <row r="7" spans="1:16" x14ac:dyDescent="0.3">
      <c r="A7" s="5">
        <v>45709</v>
      </c>
      <c r="B7" s="6">
        <v>8525</v>
      </c>
      <c r="C7" s="6" t="s">
        <v>250</v>
      </c>
      <c r="D7" s="6" t="s">
        <v>292</v>
      </c>
      <c r="E7" s="7">
        <f>SUM(F7:G7)</f>
        <v>108000</v>
      </c>
      <c r="F7" s="7">
        <v>108000</v>
      </c>
      <c r="G7" s="7"/>
    </row>
    <row r="8" spans="1:16" x14ac:dyDescent="0.3">
      <c r="A8" s="5">
        <v>45747</v>
      </c>
      <c r="B8" s="6">
        <v>14502</v>
      </c>
      <c r="C8" s="6" t="s">
        <v>250</v>
      </c>
      <c r="D8" s="6" t="s">
        <v>318</v>
      </c>
      <c r="E8" s="7">
        <f>SUM(F8:G8)</f>
        <v>10993.8</v>
      </c>
      <c r="F8" s="7">
        <v>10993.8</v>
      </c>
      <c r="G8" s="7"/>
    </row>
    <row r="9" spans="1:16" x14ac:dyDescent="0.3">
      <c r="A9" s="5">
        <v>46104</v>
      </c>
      <c r="B9" s="6">
        <v>14452</v>
      </c>
      <c r="C9" s="6" t="s">
        <v>432</v>
      </c>
      <c r="D9" s="6" t="s">
        <v>433</v>
      </c>
      <c r="E9" s="7">
        <f>SUM(F9:G9)</f>
        <v>2244</v>
      </c>
      <c r="F9" s="7">
        <v>2244</v>
      </c>
      <c r="G9" s="7"/>
    </row>
    <row r="10" spans="1:16" x14ac:dyDescent="0.3">
      <c r="A10" s="5">
        <v>46146</v>
      </c>
      <c r="B10" s="6" t="s">
        <v>494</v>
      </c>
      <c r="C10" s="6" t="s">
        <v>368</v>
      </c>
      <c r="D10" s="6" t="s">
        <v>369</v>
      </c>
      <c r="E10" s="7">
        <f t="shared" ref="E10:E13" si="0">SUM(F10:G10)</f>
        <v>5500</v>
      </c>
      <c r="F10" s="7"/>
      <c r="G10" s="7">
        <v>5500</v>
      </c>
    </row>
    <row r="11" spans="1:16" x14ac:dyDescent="0.3">
      <c r="A11" s="5">
        <v>46156</v>
      </c>
      <c r="B11" s="6">
        <v>24885</v>
      </c>
      <c r="C11" s="6" t="s">
        <v>432</v>
      </c>
      <c r="D11" s="6" t="s">
        <v>506</v>
      </c>
      <c r="E11" s="7">
        <f t="shared" si="0"/>
        <v>18556.2</v>
      </c>
      <c r="F11" s="7">
        <v>18556.2</v>
      </c>
      <c r="G11" s="7"/>
    </row>
    <row r="12" spans="1:16" x14ac:dyDescent="0.3">
      <c r="A12" s="5">
        <v>46160</v>
      </c>
      <c r="B12" s="6">
        <v>25681</v>
      </c>
      <c r="C12" s="6" t="s">
        <v>432</v>
      </c>
      <c r="D12" s="6" t="s">
        <v>512</v>
      </c>
      <c r="E12" s="7">
        <f t="shared" si="0"/>
        <v>150401.60000000001</v>
      </c>
      <c r="F12" s="7">
        <v>150401.60000000001</v>
      </c>
      <c r="G12" s="7"/>
    </row>
    <row r="13" spans="1:16" x14ac:dyDescent="0.3">
      <c r="A13" s="5">
        <v>46155</v>
      </c>
      <c r="B13" s="6">
        <v>2190</v>
      </c>
      <c r="C13" s="6" t="s">
        <v>368</v>
      </c>
      <c r="D13" s="6" t="s">
        <v>369</v>
      </c>
      <c r="E13" s="7">
        <f t="shared" si="0"/>
        <v>5500</v>
      </c>
      <c r="F13" s="7"/>
      <c r="G13" s="7">
        <v>5500</v>
      </c>
    </row>
    <row r="14" spans="1:16" x14ac:dyDescent="0.3">
      <c r="A14" s="6"/>
      <c r="B14" s="6"/>
      <c r="C14" s="6"/>
      <c r="D14" s="6"/>
      <c r="E14" s="7">
        <f>SUM(F14:G14)</f>
        <v>0</v>
      </c>
      <c r="F14" s="7"/>
      <c r="G14" s="7"/>
    </row>
    <row r="15" spans="1:16" x14ac:dyDescent="0.3">
      <c r="A15" s="106" t="s">
        <v>10</v>
      </c>
      <c r="B15" s="106"/>
      <c r="C15" s="106"/>
      <c r="D15" s="8"/>
      <c r="E15" s="9">
        <f>SUM(E6:E14)</f>
        <v>1211879.2000000002</v>
      </c>
      <c r="F15" s="9">
        <f>SUM(F6:F14)</f>
        <v>1200879.2000000002</v>
      </c>
      <c r="G15" s="9">
        <f>SUM(G6:G14)</f>
        <v>11000</v>
      </c>
    </row>
    <row r="27" spans="3:3" x14ac:dyDescent="0.3">
      <c r="C27" s="28"/>
    </row>
  </sheetData>
  <mergeCells count="2">
    <mergeCell ref="A15:C15"/>
    <mergeCell ref="A1:B1"/>
  </mergeCells>
  <hyperlinks>
    <hyperlink ref="A1:B1" location="Содержание!A1" display="Содержание!A1" xr:uid="{680101FA-732B-498F-9469-D30825C89364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A90B-98AC-4013-B922-5449702BED24}">
  <sheetPr>
    <tabColor rgb="FFFFFF00"/>
  </sheetPr>
  <dimension ref="A1:P32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132</v>
      </c>
      <c r="C3" s="14" t="s">
        <v>133</v>
      </c>
      <c r="D3" s="15" t="s">
        <v>134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46092</v>
      </c>
      <c r="B6" s="6">
        <v>2301421</v>
      </c>
      <c r="C6" s="6" t="s">
        <v>376</v>
      </c>
      <c r="D6" s="6" t="s">
        <v>377</v>
      </c>
      <c r="E6" s="7">
        <f>SUM(F6:G6)</f>
        <v>52000</v>
      </c>
      <c r="F6" s="7">
        <v>52000</v>
      </c>
      <c r="G6" s="7"/>
    </row>
    <row r="7" spans="1:16" x14ac:dyDescent="0.3">
      <c r="A7" s="5">
        <v>46147</v>
      </c>
      <c r="B7" s="6">
        <v>23270</v>
      </c>
      <c r="C7" s="6" t="s">
        <v>432</v>
      </c>
      <c r="D7" s="6" t="s">
        <v>488</v>
      </c>
      <c r="E7" s="7">
        <f>SUM(F7:G7)</f>
        <v>275236.88</v>
      </c>
      <c r="F7" s="7">
        <v>275236.88</v>
      </c>
      <c r="G7" s="7"/>
    </row>
    <row r="8" spans="1:16" x14ac:dyDescent="0.3">
      <c r="A8" s="5">
        <v>46183</v>
      </c>
      <c r="B8" s="6">
        <v>30947</v>
      </c>
      <c r="C8" s="6" t="s">
        <v>432</v>
      </c>
      <c r="D8" s="6" t="s">
        <v>527</v>
      </c>
      <c r="E8" s="7">
        <f>SUM(F8:G8)</f>
        <v>99494.66</v>
      </c>
      <c r="F8" s="7">
        <v>99494.66</v>
      </c>
      <c r="G8" s="7"/>
    </row>
    <row r="9" spans="1:16" x14ac:dyDescent="0.3">
      <c r="A9" s="5"/>
      <c r="B9" s="6"/>
      <c r="C9" s="6"/>
      <c r="D9" s="6"/>
      <c r="E9" s="7">
        <f t="shared" ref="E9:E17" si="0">SUM(F9:G9)</f>
        <v>0</v>
      </c>
      <c r="F9" s="7"/>
      <c r="G9" s="7"/>
    </row>
    <row r="10" spans="1:16" x14ac:dyDescent="0.3">
      <c r="A10" s="5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0"/>
        <v>0</v>
      </c>
      <c r="F16" s="7"/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6"/>
      <c r="B18" s="6"/>
      <c r="C18" s="6"/>
      <c r="D18" s="6"/>
      <c r="E18" s="7">
        <f>SUM(F18:G18)</f>
        <v>0</v>
      </c>
      <c r="F18" s="7"/>
      <c r="G18" s="7"/>
    </row>
    <row r="19" spans="1:7" x14ac:dyDescent="0.3">
      <c r="A19" s="6"/>
      <c r="B19" s="6"/>
      <c r="C19" s="6"/>
      <c r="D19" s="6"/>
      <c r="E19" s="7">
        <f>SUM(F19:G19)</f>
        <v>0</v>
      </c>
      <c r="F19" s="7"/>
      <c r="G19" s="7"/>
    </row>
    <row r="20" spans="1:7" x14ac:dyDescent="0.3">
      <c r="A20" s="106" t="s">
        <v>10</v>
      </c>
      <c r="B20" s="106"/>
      <c r="C20" s="106"/>
      <c r="D20" s="8"/>
      <c r="E20" s="9">
        <f>SUM(E6:E19)</f>
        <v>426731.54000000004</v>
      </c>
      <c r="F20" s="9">
        <f>SUM(F6:F19)</f>
        <v>426731.54000000004</v>
      </c>
      <c r="G20" s="9">
        <f>SUM(G6:G19)</f>
        <v>0</v>
      </c>
    </row>
    <row r="32" spans="1:7" x14ac:dyDescent="0.3">
      <c r="C32" s="28"/>
    </row>
  </sheetData>
  <mergeCells count="2">
    <mergeCell ref="A20:C20"/>
    <mergeCell ref="A1:B1"/>
  </mergeCells>
  <hyperlinks>
    <hyperlink ref="A1:B1" location="Содержание!A1" display="Содержание!A1" xr:uid="{9E4DCE5E-892D-421F-8EE4-C9343F3CDFA4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0911-18B4-4306-A075-20CC59524BD8}">
  <sheetPr>
    <tabColor rgb="FFFFFF00"/>
  </sheetPr>
  <dimension ref="A1:P34"/>
  <sheetViews>
    <sheetView tabSelected="1" workbookViewId="0">
      <selection activeCell="J9" sqref="J9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.6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20" t="s">
        <v>135</v>
      </c>
      <c r="C3" s="24" t="s">
        <v>136</v>
      </c>
      <c r="D3" s="15" t="s">
        <v>137</v>
      </c>
      <c r="E3" s="20">
        <v>2017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45687</v>
      </c>
      <c r="B6" s="6">
        <v>45</v>
      </c>
      <c r="C6" s="6" t="s">
        <v>252</v>
      </c>
      <c r="D6" s="6" t="s">
        <v>253</v>
      </c>
      <c r="E6" s="7">
        <f>SUM(F6:G6)</f>
        <v>18000</v>
      </c>
      <c r="F6" s="7"/>
      <c r="G6" s="7">
        <v>18000</v>
      </c>
    </row>
    <row r="7" spans="1:16" x14ac:dyDescent="0.3">
      <c r="A7" s="5">
        <v>45677</v>
      </c>
      <c r="B7" s="6">
        <v>125</v>
      </c>
      <c r="C7" s="6" t="s">
        <v>259</v>
      </c>
      <c r="D7" s="6" t="s">
        <v>260</v>
      </c>
      <c r="E7" s="7">
        <f>SUM(F7:G7)</f>
        <v>23700</v>
      </c>
      <c r="F7" s="7">
        <v>14800</v>
      </c>
      <c r="G7" s="7">
        <v>8900</v>
      </c>
    </row>
    <row r="8" spans="1:16" x14ac:dyDescent="0.3">
      <c r="A8" s="5">
        <v>46084</v>
      </c>
      <c r="B8" s="6">
        <v>10992</v>
      </c>
      <c r="C8" s="6" t="s">
        <v>370</v>
      </c>
      <c r="D8" s="6" t="s">
        <v>371</v>
      </c>
      <c r="E8" s="7">
        <f>SUM(F8:G8)</f>
        <v>24495</v>
      </c>
      <c r="F8" s="7">
        <v>24495</v>
      </c>
      <c r="G8" s="7"/>
    </row>
    <row r="9" spans="1:16" x14ac:dyDescent="0.3">
      <c r="A9" s="5">
        <v>46123</v>
      </c>
      <c r="B9" s="6">
        <v>19064</v>
      </c>
      <c r="C9" s="6" t="s">
        <v>370</v>
      </c>
      <c r="D9" s="6" t="s">
        <v>470</v>
      </c>
      <c r="E9" s="7">
        <f>SUM(F9:G9)</f>
        <v>37000.160000000003</v>
      </c>
      <c r="F9" s="7">
        <v>37000.160000000003</v>
      </c>
      <c r="G9" s="7"/>
    </row>
    <row r="10" spans="1:16" x14ac:dyDescent="0.3">
      <c r="A10" s="5">
        <v>46128</v>
      </c>
      <c r="B10" s="6">
        <v>19874</v>
      </c>
      <c r="C10" s="6" t="s">
        <v>370</v>
      </c>
      <c r="D10" s="6" t="s">
        <v>472</v>
      </c>
      <c r="E10" s="7">
        <f t="shared" ref="E10:E20" si="0">SUM(F10:G10)</f>
        <v>3345</v>
      </c>
      <c r="F10" s="7">
        <v>3345</v>
      </c>
      <c r="G10" s="7"/>
    </row>
    <row r="11" spans="1:16" x14ac:dyDescent="0.3">
      <c r="A11" s="5">
        <v>46147</v>
      </c>
      <c r="B11" s="6">
        <v>23448</v>
      </c>
      <c r="C11" s="6" t="s">
        <v>370</v>
      </c>
      <c r="D11" s="6" t="s">
        <v>503</v>
      </c>
      <c r="E11" s="7">
        <f t="shared" si="0"/>
        <v>2220</v>
      </c>
      <c r="F11" s="7">
        <v>2220</v>
      </c>
      <c r="G11" s="7"/>
    </row>
    <row r="12" spans="1:16" x14ac:dyDescent="0.3">
      <c r="A12" s="5">
        <v>46147</v>
      </c>
      <c r="B12" s="6" t="s">
        <v>491</v>
      </c>
      <c r="C12" s="6" t="s">
        <v>475</v>
      </c>
      <c r="D12" s="6" t="s">
        <v>502</v>
      </c>
      <c r="E12" s="7">
        <f t="shared" si="0"/>
        <v>7128</v>
      </c>
      <c r="F12" s="7">
        <v>7128</v>
      </c>
      <c r="G12" s="7"/>
    </row>
    <row r="13" spans="1:16" x14ac:dyDescent="0.3">
      <c r="A13" s="5">
        <v>46225</v>
      </c>
      <c r="B13" s="6">
        <v>39102</v>
      </c>
      <c r="C13" s="6" t="s">
        <v>370</v>
      </c>
      <c r="D13" s="6" t="s">
        <v>564</v>
      </c>
      <c r="E13" s="7">
        <f t="shared" si="0"/>
        <v>6143.31</v>
      </c>
      <c r="F13" s="7">
        <v>6143.31</v>
      </c>
      <c r="G13" s="7"/>
    </row>
    <row r="14" spans="1:16" x14ac:dyDescent="0.3">
      <c r="A14" s="5">
        <v>46238</v>
      </c>
      <c r="B14" s="6">
        <v>84</v>
      </c>
      <c r="C14" s="6" t="s">
        <v>522</v>
      </c>
      <c r="D14" s="6" t="s">
        <v>573</v>
      </c>
      <c r="E14" s="7">
        <f t="shared" si="0"/>
        <v>18000</v>
      </c>
      <c r="F14" s="7"/>
      <c r="G14" s="7">
        <v>18000</v>
      </c>
    </row>
    <row r="15" spans="1:16" x14ac:dyDescent="0.3">
      <c r="A15" s="5">
        <v>46254</v>
      </c>
      <c r="B15" s="6">
        <v>44894</v>
      </c>
      <c r="C15" s="6" t="s">
        <v>370</v>
      </c>
      <c r="D15" s="6" t="s">
        <v>592</v>
      </c>
      <c r="E15" s="7">
        <f t="shared" si="0"/>
        <v>5820</v>
      </c>
      <c r="F15" s="7">
        <v>5820</v>
      </c>
      <c r="G15" s="7"/>
    </row>
    <row r="16" spans="1:16" x14ac:dyDescent="0.3">
      <c r="A16" s="5">
        <v>46218</v>
      </c>
      <c r="B16" s="6">
        <v>37700</v>
      </c>
      <c r="C16" s="6" t="s">
        <v>370</v>
      </c>
      <c r="D16" s="6" t="s">
        <v>593</v>
      </c>
      <c r="E16" s="7">
        <f t="shared" si="0"/>
        <v>10984.88</v>
      </c>
      <c r="F16" s="7">
        <v>10984.88</v>
      </c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5"/>
      <c r="B18" s="6"/>
      <c r="C18" s="6"/>
      <c r="D18" s="6"/>
      <c r="E18" s="7">
        <f t="shared" si="0"/>
        <v>0</v>
      </c>
      <c r="F18" s="7"/>
      <c r="G18" s="7"/>
    </row>
    <row r="19" spans="1:7" x14ac:dyDescent="0.3">
      <c r="A19" s="5"/>
      <c r="B19" s="6"/>
      <c r="C19" s="6"/>
      <c r="D19" s="6"/>
      <c r="E19" s="7">
        <f t="shared" si="0"/>
        <v>0</v>
      </c>
      <c r="F19" s="7"/>
      <c r="G19" s="7"/>
    </row>
    <row r="20" spans="1:7" x14ac:dyDescent="0.3">
      <c r="A20" s="5"/>
      <c r="B20" s="6"/>
      <c r="C20" s="6"/>
      <c r="D20" s="6"/>
      <c r="E20" s="7">
        <f t="shared" si="0"/>
        <v>0</v>
      </c>
      <c r="F20" s="7"/>
      <c r="G20" s="7"/>
    </row>
    <row r="21" spans="1:7" x14ac:dyDescent="0.3">
      <c r="A21" s="6"/>
      <c r="B21" s="6"/>
      <c r="C21" s="6"/>
      <c r="D21" s="6"/>
      <c r="E21" s="7">
        <f>SUM(F21:G21)</f>
        <v>0</v>
      </c>
      <c r="F21" s="7"/>
      <c r="G21" s="7"/>
    </row>
    <row r="22" spans="1:7" x14ac:dyDescent="0.3">
      <c r="A22" s="106" t="s">
        <v>10</v>
      </c>
      <c r="B22" s="106"/>
      <c r="C22" s="106"/>
      <c r="D22" s="8"/>
      <c r="E22" s="9">
        <f>SUM(E6:E21)</f>
        <v>156836.35</v>
      </c>
      <c r="F22" s="9">
        <f>SUM(F6:F21)</f>
        <v>111936.35</v>
      </c>
      <c r="G22" s="9">
        <f>SUM(G6:G21)</f>
        <v>44900</v>
      </c>
    </row>
    <row r="34" spans="3:3" x14ac:dyDescent="0.3">
      <c r="C34" s="28"/>
    </row>
  </sheetData>
  <mergeCells count="2">
    <mergeCell ref="A22:C22"/>
    <mergeCell ref="A1:B1"/>
  </mergeCells>
  <hyperlinks>
    <hyperlink ref="A1:B1" location="Содержание!A1" display="Содержание!A1" xr:uid="{28E8B38B-63F5-45A5-977C-4CA6A117E769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09C5-60C5-428A-82BA-693391CFECC0}">
  <sheetPr>
    <tabColor rgb="FFFFFF00"/>
  </sheetPr>
  <dimension ref="A1:P40"/>
  <sheetViews>
    <sheetView topLeftCell="A10" workbookViewId="0">
      <selection activeCell="F21" sqref="F2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7.399999999999999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/>
      <c r="C3" s="14"/>
      <c r="D3" s="27" t="s">
        <v>138</v>
      </c>
      <c r="E3" s="13">
        <v>2017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45707</v>
      </c>
      <c r="B6" s="6">
        <v>3650</v>
      </c>
      <c r="C6" s="6" t="s">
        <v>286</v>
      </c>
      <c r="D6" s="6" t="s">
        <v>287</v>
      </c>
      <c r="E6" s="7">
        <f>SUM(F6:G6)</f>
        <v>40000</v>
      </c>
      <c r="F6" s="7"/>
      <c r="G6" s="7">
        <v>40000</v>
      </c>
    </row>
    <row r="7" spans="1:16" x14ac:dyDescent="0.3">
      <c r="A7" s="5">
        <v>45707</v>
      </c>
      <c r="B7" s="6">
        <v>8052</v>
      </c>
      <c r="C7" s="6" t="s">
        <v>290</v>
      </c>
      <c r="D7" s="6" t="s">
        <v>291</v>
      </c>
      <c r="E7" s="7">
        <f>SUM(F7:G7)</f>
        <v>5817.6</v>
      </c>
      <c r="F7" s="7">
        <v>5817.6</v>
      </c>
      <c r="G7" s="7"/>
    </row>
    <row r="8" spans="1:16" x14ac:dyDescent="0.3">
      <c r="A8" s="5">
        <v>45720</v>
      </c>
      <c r="B8" s="6" t="s">
        <v>297</v>
      </c>
      <c r="C8" s="6" t="s">
        <v>298</v>
      </c>
      <c r="D8" s="6" t="s">
        <v>299</v>
      </c>
      <c r="E8" s="7">
        <f>SUM(F8:G8)</f>
        <v>111900</v>
      </c>
      <c r="F8" s="7"/>
      <c r="G8" s="7">
        <v>111900</v>
      </c>
    </row>
    <row r="9" spans="1:16" x14ac:dyDescent="0.3">
      <c r="A9" s="5">
        <v>45735</v>
      </c>
      <c r="B9" s="6">
        <v>12776</v>
      </c>
      <c r="C9" s="6" t="s">
        <v>290</v>
      </c>
      <c r="D9" s="6" t="s">
        <v>313</v>
      </c>
      <c r="E9" s="7">
        <f t="shared" ref="E9:E11" si="0">SUM(F9:G9)</f>
        <v>4164</v>
      </c>
      <c r="F9" s="7">
        <v>4164</v>
      </c>
      <c r="G9" s="7"/>
    </row>
    <row r="10" spans="1:16" x14ac:dyDescent="0.3">
      <c r="A10" s="5">
        <v>45992</v>
      </c>
      <c r="B10" s="6"/>
      <c r="C10" s="6" t="s">
        <v>328</v>
      </c>
      <c r="D10" s="6" t="s">
        <v>329</v>
      </c>
      <c r="E10" s="7">
        <f t="shared" si="0"/>
        <v>200000</v>
      </c>
      <c r="F10" s="7"/>
      <c r="G10" s="7">
        <v>200000</v>
      </c>
    </row>
    <row r="11" spans="1:16" x14ac:dyDescent="0.3">
      <c r="A11" s="5">
        <v>46050</v>
      </c>
      <c r="B11" s="6">
        <v>6</v>
      </c>
      <c r="C11" s="6" t="s">
        <v>336</v>
      </c>
      <c r="D11" s="6" t="s">
        <v>337</v>
      </c>
      <c r="E11" s="7">
        <f t="shared" si="0"/>
        <v>27000</v>
      </c>
      <c r="F11" s="7"/>
      <c r="G11" s="7">
        <v>27000</v>
      </c>
    </row>
    <row r="12" spans="1:16" x14ac:dyDescent="0.3">
      <c r="A12" s="5">
        <v>46079</v>
      </c>
      <c r="B12" s="6">
        <v>9703</v>
      </c>
      <c r="C12" s="6" t="s">
        <v>290</v>
      </c>
      <c r="D12" s="6" t="s">
        <v>372</v>
      </c>
      <c r="E12" s="7">
        <f>SUM(F12:G12)</f>
        <v>182000</v>
      </c>
      <c r="F12" s="7">
        <v>182000</v>
      </c>
      <c r="G12" s="7"/>
    </row>
    <row r="13" spans="1:16" x14ac:dyDescent="0.3">
      <c r="A13" s="5">
        <v>46086</v>
      </c>
      <c r="B13" s="6">
        <v>11574</v>
      </c>
      <c r="C13" s="6" t="s">
        <v>290</v>
      </c>
      <c r="D13" s="6" t="s">
        <v>375</v>
      </c>
      <c r="E13" s="7">
        <f t="shared" ref="E13:E26" si="1">SUM(F13:G13)</f>
        <v>3480</v>
      </c>
      <c r="F13" s="7">
        <v>3480</v>
      </c>
      <c r="G13" s="7"/>
    </row>
    <row r="14" spans="1:16" x14ac:dyDescent="0.3">
      <c r="A14" s="5">
        <v>46104</v>
      </c>
      <c r="B14" s="6">
        <v>14958</v>
      </c>
      <c r="C14" s="6" t="s">
        <v>432</v>
      </c>
      <c r="D14" s="6" t="s">
        <v>437</v>
      </c>
      <c r="E14" s="7">
        <f t="shared" si="1"/>
        <v>58344</v>
      </c>
      <c r="F14" s="7"/>
      <c r="G14" s="7">
        <v>58344</v>
      </c>
    </row>
    <row r="15" spans="1:16" x14ac:dyDescent="0.3">
      <c r="A15" s="5">
        <v>46104</v>
      </c>
      <c r="B15" s="6">
        <v>14957</v>
      </c>
      <c r="C15" s="6" t="s">
        <v>432</v>
      </c>
      <c r="D15" s="6" t="s">
        <v>438</v>
      </c>
      <c r="E15" s="7">
        <f t="shared" si="1"/>
        <v>25773</v>
      </c>
      <c r="F15" s="7">
        <v>25773</v>
      </c>
      <c r="G15" s="7"/>
    </row>
    <row r="16" spans="1:16" x14ac:dyDescent="0.3">
      <c r="A16" s="5">
        <v>46111</v>
      </c>
      <c r="B16" s="6">
        <v>16442</v>
      </c>
      <c r="C16" s="6" t="s">
        <v>432</v>
      </c>
      <c r="D16" s="6" t="s">
        <v>455</v>
      </c>
      <c r="E16" s="7">
        <f t="shared" si="1"/>
        <v>8525</v>
      </c>
      <c r="F16" s="7">
        <v>8525</v>
      </c>
      <c r="G16" s="7"/>
    </row>
    <row r="17" spans="1:7" x14ac:dyDescent="0.3">
      <c r="A17" s="5">
        <v>46147</v>
      </c>
      <c r="B17" s="6" t="s">
        <v>491</v>
      </c>
      <c r="C17" s="6" t="s">
        <v>475</v>
      </c>
      <c r="D17" s="6" t="s">
        <v>492</v>
      </c>
      <c r="E17" s="7">
        <f t="shared" si="1"/>
        <v>7178</v>
      </c>
      <c r="F17" s="7">
        <v>7178</v>
      </c>
      <c r="G17" s="7"/>
    </row>
    <row r="18" spans="1:7" x14ac:dyDescent="0.3">
      <c r="A18" s="5">
        <v>46182</v>
      </c>
      <c r="B18" s="6">
        <v>30813</v>
      </c>
      <c r="C18" s="6" t="s">
        <v>432</v>
      </c>
      <c r="D18" s="6" t="s">
        <v>526</v>
      </c>
      <c r="E18" s="7">
        <f t="shared" si="1"/>
        <v>73243</v>
      </c>
      <c r="F18" s="7">
        <v>73243</v>
      </c>
      <c r="G18" s="7"/>
    </row>
    <row r="19" spans="1:7" x14ac:dyDescent="0.3">
      <c r="A19" s="5">
        <v>46197</v>
      </c>
      <c r="B19" s="87">
        <v>33583</v>
      </c>
      <c r="C19" s="6" t="s">
        <v>432</v>
      </c>
      <c r="D19" s="6" t="s">
        <v>540</v>
      </c>
      <c r="E19" s="7">
        <f t="shared" si="1"/>
        <v>25500</v>
      </c>
      <c r="F19" s="7">
        <v>25500</v>
      </c>
      <c r="G19" s="7"/>
    </row>
    <row r="20" spans="1:7" x14ac:dyDescent="0.3">
      <c r="A20" s="5">
        <v>46203</v>
      </c>
      <c r="B20" s="6">
        <v>2037</v>
      </c>
      <c r="C20" s="6" t="s">
        <v>441</v>
      </c>
      <c r="D20" s="6" t="s">
        <v>544</v>
      </c>
      <c r="E20" s="7">
        <f t="shared" si="1"/>
        <v>19950</v>
      </c>
      <c r="F20" s="7">
        <v>8450</v>
      </c>
      <c r="G20" s="7">
        <v>11500</v>
      </c>
    </row>
    <row r="21" spans="1:7" x14ac:dyDescent="0.3">
      <c r="A21" s="5">
        <v>46242</v>
      </c>
      <c r="B21" s="6">
        <v>42608</v>
      </c>
      <c r="C21" s="6" t="s">
        <v>432</v>
      </c>
      <c r="D21" s="6" t="s">
        <v>321</v>
      </c>
      <c r="E21" s="7">
        <f t="shared" si="1"/>
        <v>32499.58</v>
      </c>
      <c r="F21" s="7">
        <v>32499.58</v>
      </c>
      <c r="G21" s="7"/>
    </row>
    <row r="22" spans="1:7" x14ac:dyDescent="0.3">
      <c r="A22" s="5"/>
      <c r="B22" s="6"/>
      <c r="C22" s="6"/>
      <c r="D22" s="6"/>
      <c r="E22" s="7">
        <f t="shared" si="1"/>
        <v>0</v>
      </c>
      <c r="F22" s="7"/>
      <c r="G22" s="7"/>
    </row>
    <row r="23" spans="1:7" x14ac:dyDescent="0.3">
      <c r="A23" s="5"/>
      <c r="B23" s="6"/>
      <c r="C23" s="6"/>
      <c r="D23" s="6"/>
      <c r="E23" s="7">
        <f t="shared" si="1"/>
        <v>0</v>
      </c>
      <c r="F23" s="7"/>
      <c r="G23" s="7"/>
    </row>
    <row r="24" spans="1:7" x14ac:dyDescent="0.3">
      <c r="A24" s="5"/>
      <c r="B24" s="6"/>
      <c r="C24" s="6"/>
      <c r="D24" s="6"/>
      <c r="E24" s="7">
        <f t="shared" si="1"/>
        <v>0</v>
      </c>
      <c r="F24" s="7"/>
      <c r="G24" s="7"/>
    </row>
    <row r="25" spans="1:7" x14ac:dyDescent="0.3">
      <c r="A25" s="5"/>
      <c r="B25" s="6"/>
      <c r="C25" s="6"/>
      <c r="D25" s="6"/>
      <c r="E25" s="7">
        <f t="shared" si="1"/>
        <v>0</v>
      </c>
      <c r="F25" s="7"/>
      <c r="G25" s="7"/>
    </row>
    <row r="26" spans="1:7" x14ac:dyDescent="0.3">
      <c r="A26" s="5"/>
      <c r="B26" s="6"/>
      <c r="C26" s="6"/>
      <c r="D26" s="6"/>
      <c r="E26" s="7">
        <f t="shared" si="1"/>
        <v>0</v>
      </c>
      <c r="F26" s="7"/>
      <c r="G26" s="7"/>
    </row>
    <row r="27" spans="1:7" x14ac:dyDescent="0.3">
      <c r="A27" s="6"/>
      <c r="B27" s="6"/>
      <c r="C27" s="6"/>
      <c r="D27" s="6"/>
      <c r="E27" s="7">
        <f>SUM(F27:G27)</f>
        <v>0</v>
      </c>
      <c r="F27" s="7"/>
      <c r="G27" s="7"/>
    </row>
    <row r="28" spans="1:7" x14ac:dyDescent="0.3">
      <c r="A28" s="106" t="s">
        <v>10</v>
      </c>
      <c r="B28" s="106"/>
      <c r="C28" s="106"/>
      <c r="D28" s="8"/>
      <c r="E28" s="9">
        <f>SUM(E6:E27)</f>
        <v>825374.17999999993</v>
      </c>
      <c r="F28" s="9">
        <f>SUM(F6:F27)</f>
        <v>376630.18</v>
      </c>
      <c r="G28" s="9">
        <f>SUM(G6:G27)</f>
        <v>448744</v>
      </c>
    </row>
    <row r="40" spans="3:3" x14ac:dyDescent="0.3">
      <c r="C40" s="28"/>
    </row>
  </sheetData>
  <mergeCells count="2">
    <mergeCell ref="A28:C28"/>
    <mergeCell ref="A1:B1"/>
  </mergeCells>
  <hyperlinks>
    <hyperlink ref="A1:B1" location="Содержание!A1" display="Содержание!A1" xr:uid="{9CC493C2-06FF-4E77-9349-AD8D158A88D2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7F02-8C3F-4202-A371-52BB015653AD}">
  <sheetPr>
    <tabColor rgb="FFFFFF00"/>
  </sheetPr>
  <dimension ref="A1:P26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139</v>
      </c>
      <c r="C3" s="23" t="s">
        <v>140</v>
      </c>
      <c r="D3" s="15" t="s">
        <v>141</v>
      </c>
      <c r="E3" s="14">
        <v>2020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45726</v>
      </c>
      <c r="B6" s="6">
        <v>457296809</v>
      </c>
      <c r="C6" s="6" t="s">
        <v>293</v>
      </c>
      <c r="D6" s="6" t="s">
        <v>307</v>
      </c>
      <c r="E6" s="7">
        <f>SUM(F6:G6)</f>
        <v>4771.18</v>
      </c>
      <c r="F6" s="7">
        <v>4771.18</v>
      </c>
      <c r="G6" s="7"/>
    </row>
    <row r="7" spans="1:16" x14ac:dyDescent="0.3">
      <c r="A7" s="5">
        <v>45726</v>
      </c>
      <c r="B7" s="6" t="s">
        <v>309</v>
      </c>
      <c r="C7" s="6" t="s">
        <v>308</v>
      </c>
      <c r="D7" s="6" t="s">
        <v>304</v>
      </c>
      <c r="E7" s="7">
        <f>SUM(F7:G7)</f>
        <v>16655.599999999999</v>
      </c>
      <c r="F7" s="7">
        <v>16655.599999999999</v>
      </c>
      <c r="G7" s="7"/>
    </row>
    <row r="8" spans="1:16" x14ac:dyDescent="0.3">
      <c r="A8" s="5">
        <v>46051</v>
      </c>
      <c r="B8" s="6">
        <v>11</v>
      </c>
      <c r="C8" s="6" t="s">
        <v>425</v>
      </c>
      <c r="D8" s="6" t="s">
        <v>426</v>
      </c>
      <c r="E8" s="7">
        <f t="shared" ref="E8:E10" si="0">SUM(F8:G8)</f>
        <v>14000</v>
      </c>
      <c r="F8" s="7">
        <v>14000</v>
      </c>
      <c r="G8" s="7"/>
    </row>
    <row r="9" spans="1:16" x14ac:dyDescent="0.3">
      <c r="A9" s="5">
        <v>46114</v>
      </c>
      <c r="B9" s="6">
        <v>40</v>
      </c>
      <c r="C9" s="6" t="s">
        <v>425</v>
      </c>
      <c r="D9" s="6" t="s">
        <v>459</v>
      </c>
      <c r="E9" s="7">
        <f t="shared" si="0"/>
        <v>12000</v>
      </c>
      <c r="F9" s="7"/>
      <c r="G9" s="7">
        <v>12000</v>
      </c>
    </row>
    <row r="10" spans="1:16" x14ac:dyDescent="0.3">
      <c r="A10" s="5">
        <v>46147</v>
      </c>
      <c r="B10" s="6" t="s">
        <v>489</v>
      </c>
      <c r="C10" s="6" t="s">
        <v>475</v>
      </c>
      <c r="D10" s="6" t="s">
        <v>490</v>
      </c>
      <c r="E10" s="7">
        <f t="shared" si="0"/>
        <v>293716</v>
      </c>
      <c r="F10" s="7">
        <v>293716</v>
      </c>
      <c r="G10" s="7"/>
    </row>
    <row r="11" spans="1:16" x14ac:dyDescent="0.3">
      <c r="A11" s="6"/>
      <c r="B11" s="6"/>
      <c r="C11" s="6"/>
      <c r="D11" s="6"/>
      <c r="E11" s="7">
        <f>SUM(F11:G11)</f>
        <v>0</v>
      </c>
      <c r="F11" s="7"/>
      <c r="G11" s="7"/>
    </row>
    <row r="12" spans="1:16" x14ac:dyDescent="0.3">
      <c r="A12" s="6"/>
      <c r="B12" s="6"/>
      <c r="C12" s="6"/>
      <c r="D12" s="6"/>
      <c r="E12" s="7">
        <f>SUM(F12:G12)</f>
        <v>0</v>
      </c>
      <c r="F12" s="7"/>
      <c r="G12" s="7"/>
    </row>
    <row r="13" spans="1:16" x14ac:dyDescent="0.3">
      <c r="A13" s="6"/>
      <c r="B13" s="6"/>
      <c r="C13" s="6"/>
      <c r="D13" s="6"/>
      <c r="E13" s="7">
        <f>SUM(F13:G13)</f>
        <v>0</v>
      </c>
      <c r="F13" s="7"/>
      <c r="G13" s="7"/>
    </row>
    <row r="14" spans="1:16" x14ac:dyDescent="0.3">
      <c r="A14" s="106" t="s">
        <v>10</v>
      </c>
      <c r="B14" s="106"/>
      <c r="C14" s="106"/>
      <c r="D14" s="8"/>
      <c r="E14" s="9">
        <f>SUM(E6:E13)</f>
        <v>341142.78</v>
      </c>
      <c r="F14" s="9">
        <f>SUM(F6:F13)</f>
        <v>329142.78000000003</v>
      </c>
      <c r="G14" s="9">
        <f>SUM(G6:G13)</f>
        <v>12000</v>
      </c>
    </row>
    <row r="26" spans="3:3" x14ac:dyDescent="0.3">
      <c r="C26" s="28"/>
    </row>
  </sheetData>
  <mergeCells count="2">
    <mergeCell ref="A14:C14"/>
    <mergeCell ref="A1:B1"/>
  </mergeCells>
  <hyperlinks>
    <hyperlink ref="A1:B1" location="Содержание!A1" display="Содержание!A1" xr:uid="{95564F17-019A-4BDA-8AFF-C24D0CCC3D54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F068-3125-4925-9375-402B35BD9EF6}">
  <sheetPr>
    <tabColor rgb="FFFFFF00"/>
  </sheetPr>
  <dimension ref="A1:P27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142</v>
      </c>
      <c r="C3" s="23" t="s">
        <v>143</v>
      </c>
      <c r="D3" s="15" t="s">
        <v>144</v>
      </c>
      <c r="E3" s="14">
        <v>2018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45677</v>
      </c>
      <c r="B6" s="6">
        <v>11</v>
      </c>
      <c r="C6" s="6" t="s">
        <v>258</v>
      </c>
      <c r="D6" s="6" t="s">
        <v>236</v>
      </c>
      <c r="E6" s="7">
        <f>SUM(F6:G6)</f>
        <v>14340</v>
      </c>
      <c r="F6" s="7">
        <v>14340</v>
      </c>
      <c r="G6" s="7"/>
    </row>
    <row r="7" spans="1:16" x14ac:dyDescent="0.3">
      <c r="A7" s="5">
        <v>45728</v>
      </c>
      <c r="B7" s="6" t="s">
        <v>310</v>
      </c>
      <c r="C7" s="6" t="s">
        <v>311</v>
      </c>
      <c r="D7" s="6" t="s">
        <v>312</v>
      </c>
      <c r="E7" s="7">
        <f>SUM(F7:G7)</f>
        <v>12798.7</v>
      </c>
      <c r="F7" s="7">
        <v>12798.7</v>
      </c>
      <c r="G7" s="7"/>
    </row>
    <row r="8" spans="1:16" x14ac:dyDescent="0.3">
      <c r="A8" s="5">
        <v>46129</v>
      </c>
      <c r="B8" s="6" t="s">
        <v>474</v>
      </c>
      <c r="C8" s="6" t="s">
        <v>475</v>
      </c>
      <c r="D8" s="6" t="s">
        <v>476</v>
      </c>
      <c r="E8" s="7">
        <f>SUM(F8:G8)</f>
        <v>10573</v>
      </c>
      <c r="F8" s="7">
        <v>10573</v>
      </c>
      <c r="G8" s="7"/>
    </row>
    <row r="9" spans="1:16" x14ac:dyDescent="0.3">
      <c r="A9" s="5">
        <v>46139</v>
      </c>
      <c r="B9" s="6">
        <v>203</v>
      </c>
      <c r="C9" s="6" t="s">
        <v>481</v>
      </c>
      <c r="D9" s="6" t="s">
        <v>482</v>
      </c>
      <c r="E9" s="7">
        <f t="shared" ref="E9:E12" si="0">SUM(F9:G9)</f>
        <v>23133</v>
      </c>
      <c r="F9" s="7"/>
      <c r="G9" s="7">
        <v>23133</v>
      </c>
    </row>
    <row r="10" spans="1:16" x14ac:dyDescent="0.3">
      <c r="A10" s="5">
        <v>46148</v>
      </c>
      <c r="B10" s="6">
        <v>93</v>
      </c>
      <c r="C10" s="6" t="s">
        <v>495</v>
      </c>
      <c r="D10" s="6" t="s">
        <v>496</v>
      </c>
      <c r="E10" s="7">
        <f t="shared" si="0"/>
        <v>13500</v>
      </c>
      <c r="F10" s="7"/>
      <c r="G10" s="7">
        <v>13500</v>
      </c>
    </row>
    <row r="11" spans="1:16" x14ac:dyDescent="0.3">
      <c r="A11" s="5">
        <v>46156</v>
      </c>
      <c r="B11" s="6">
        <v>24892</v>
      </c>
      <c r="C11" s="6" t="s">
        <v>370</v>
      </c>
      <c r="D11" s="6" t="s">
        <v>507</v>
      </c>
      <c r="E11" s="7">
        <f t="shared" si="0"/>
        <v>1864</v>
      </c>
      <c r="F11" s="7">
        <v>1864</v>
      </c>
      <c r="G11" s="7"/>
    </row>
    <row r="12" spans="1:16" x14ac:dyDescent="0.3">
      <c r="A12" s="5">
        <v>46162</v>
      </c>
      <c r="B12" s="6">
        <v>2650</v>
      </c>
      <c r="C12" s="6" t="s">
        <v>370</v>
      </c>
      <c r="D12" s="6" t="s">
        <v>511</v>
      </c>
      <c r="E12" s="7">
        <f t="shared" si="0"/>
        <v>127560.14</v>
      </c>
      <c r="F12" s="7">
        <v>98560.14</v>
      </c>
      <c r="G12" s="7">
        <v>29000</v>
      </c>
    </row>
    <row r="13" spans="1:16" x14ac:dyDescent="0.3">
      <c r="A13" s="5">
        <v>46258</v>
      </c>
      <c r="B13" s="6">
        <v>54230</v>
      </c>
      <c r="C13" s="6" t="s">
        <v>475</v>
      </c>
      <c r="D13" s="6" t="s">
        <v>589</v>
      </c>
      <c r="E13" s="7">
        <f>SUM(F13:G13)</f>
        <v>11120</v>
      </c>
      <c r="F13" s="7">
        <v>11120</v>
      </c>
      <c r="G13" s="7"/>
    </row>
    <row r="14" spans="1:16" x14ac:dyDescent="0.3">
      <c r="A14" s="6"/>
      <c r="B14" s="6"/>
      <c r="C14" s="6"/>
      <c r="D14" s="6"/>
      <c r="E14" s="7">
        <f>SUM(F14:G14)</f>
        <v>0</v>
      </c>
      <c r="F14" s="7"/>
      <c r="G14" s="7"/>
    </row>
    <row r="15" spans="1:16" x14ac:dyDescent="0.3">
      <c r="A15" s="106" t="s">
        <v>10</v>
      </c>
      <c r="B15" s="106"/>
      <c r="C15" s="106"/>
      <c r="D15" s="8"/>
      <c r="E15" s="9">
        <f>SUM(E6:E14)</f>
        <v>214888.84</v>
      </c>
      <c r="F15" s="9">
        <f>SUM(F6:F14)</f>
        <v>149255.84</v>
      </c>
      <c r="G15" s="9">
        <f>SUM(G6:G14)</f>
        <v>65633</v>
      </c>
    </row>
    <row r="27" spans="3:3" x14ac:dyDescent="0.3">
      <c r="C27" s="28"/>
    </row>
  </sheetData>
  <mergeCells count="2">
    <mergeCell ref="A15:C15"/>
    <mergeCell ref="A1:B1"/>
  </mergeCells>
  <hyperlinks>
    <hyperlink ref="A1:B1" location="Содержание!A1" display="Содержание!A1" xr:uid="{3110887B-7ADE-4343-9A09-F871DCE4BC80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48F1-5A53-4140-9167-4CBE62C5536C}">
  <sheetPr>
    <tabColor rgb="FFFFFF0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23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0.399999999999999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145</v>
      </c>
      <c r="C3" s="14" t="s">
        <v>146</v>
      </c>
      <c r="D3" s="15" t="s">
        <v>147</v>
      </c>
      <c r="E3" s="14">
        <v>2020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46268</v>
      </c>
      <c r="B6" s="6" t="s">
        <v>600</v>
      </c>
      <c r="C6" s="6" t="s">
        <v>601</v>
      </c>
      <c r="D6" s="6" t="s">
        <v>602</v>
      </c>
      <c r="E6" s="7">
        <f>SUM(F6:G6)</f>
        <v>29436</v>
      </c>
      <c r="F6" s="7">
        <v>29436</v>
      </c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29436</v>
      </c>
      <c r="F11" s="9">
        <f>SUM(F6:F10)</f>
        <v>29436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13C26CA1-65D3-4E72-B548-7C22281C149B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046E-3807-4369-98F9-8293C99D7D9E}">
  <sheetPr>
    <tabColor rgb="FF92D050"/>
  </sheetPr>
  <dimension ref="A1:P25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2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148</v>
      </c>
      <c r="C3" s="29" t="s">
        <v>149</v>
      </c>
      <c r="D3" s="15" t="s">
        <v>150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45691</v>
      </c>
      <c r="B6" s="6" t="s">
        <v>264</v>
      </c>
      <c r="C6" s="6" t="s">
        <v>257</v>
      </c>
      <c r="D6" s="6" t="s">
        <v>274</v>
      </c>
      <c r="E6" s="7">
        <f>SUM(F6:G6)</f>
        <v>4721.9799999999996</v>
      </c>
      <c r="F6" s="7">
        <v>4721.9799999999996</v>
      </c>
      <c r="G6" s="7"/>
    </row>
    <row r="7" spans="1:16" x14ac:dyDescent="0.3">
      <c r="A7" s="5">
        <v>45691</v>
      </c>
      <c r="B7" s="6">
        <v>99</v>
      </c>
      <c r="C7" s="6" t="s">
        <v>265</v>
      </c>
      <c r="D7" s="6" t="s">
        <v>236</v>
      </c>
      <c r="E7" s="7">
        <f t="shared" ref="E7:E12" si="0">SUM(F7:G7)</f>
        <v>760</v>
      </c>
      <c r="F7" s="7">
        <v>760</v>
      </c>
      <c r="G7" s="7"/>
    </row>
    <row r="8" spans="1:16" x14ac:dyDescent="0.3">
      <c r="A8" s="5">
        <v>45691</v>
      </c>
      <c r="B8" s="6" t="s">
        <v>266</v>
      </c>
      <c r="C8" s="6" t="s">
        <v>255</v>
      </c>
      <c r="D8" s="6" t="s">
        <v>236</v>
      </c>
      <c r="E8" s="7">
        <f t="shared" si="0"/>
        <v>13660</v>
      </c>
      <c r="F8" s="7">
        <v>13660</v>
      </c>
      <c r="G8" s="7"/>
    </row>
    <row r="9" spans="1:16" x14ac:dyDescent="0.3">
      <c r="A9" s="5"/>
      <c r="B9" s="6"/>
      <c r="C9" s="6"/>
      <c r="D9" s="6"/>
      <c r="E9" s="7">
        <f t="shared" si="0"/>
        <v>0</v>
      </c>
      <c r="F9" s="7"/>
      <c r="G9" s="7"/>
    </row>
    <row r="10" spans="1:16" x14ac:dyDescent="0.3">
      <c r="A10" s="5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6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6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106" t="s">
        <v>10</v>
      </c>
      <c r="B13" s="106"/>
      <c r="C13" s="106"/>
      <c r="D13" s="8"/>
      <c r="E13" s="9">
        <f>SUM(E6:E12)</f>
        <v>19141.98</v>
      </c>
      <c r="F13" s="9">
        <f>SUM(F6:F12)</f>
        <v>19141.98</v>
      </c>
      <c r="G13" s="9">
        <f>SUM(G6:G12)</f>
        <v>0</v>
      </c>
    </row>
    <row r="25" spans="3:3" x14ac:dyDescent="0.3">
      <c r="C25" s="28"/>
    </row>
  </sheetData>
  <mergeCells count="2">
    <mergeCell ref="A13:C13"/>
    <mergeCell ref="A1:B1"/>
  </mergeCells>
  <hyperlinks>
    <hyperlink ref="A1:B1" location="Содержание!A1" display="Содержание!A1" xr:uid="{B987589D-598F-4225-99B6-5A263E711F89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8E1F-48F2-4BB2-81FC-5A93E52E19CC}">
  <sheetPr>
    <tabColor rgb="FF92D050"/>
  </sheetPr>
  <dimension ref="A1:P29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.600000000000001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151</v>
      </c>
      <c r="C3" s="14" t="s">
        <v>152</v>
      </c>
      <c r="D3" s="15" t="s">
        <v>153</v>
      </c>
      <c r="E3" s="14"/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45678</v>
      </c>
      <c r="B6" s="6" t="s">
        <v>254</v>
      </c>
      <c r="C6" s="6" t="s">
        <v>255</v>
      </c>
      <c r="D6" s="6" t="s">
        <v>236</v>
      </c>
      <c r="E6" s="7">
        <f>SUM(F6:G6)</f>
        <v>11800</v>
      </c>
      <c r="F6" s="7">
        <v>11800</v>
      </c>
      <c r="G6" s="7"/>
    </row>
    <row r="7" spans="1:16" x14ac:dyDescent="0.3">
      <c r="A7" s="5">
        <v>45497</v>
      </c>
      <c r="B7" s="6" t="s">
        <v>256</v>
      </c>
      <c r="C7" s="6" t="s">
        <v>257</v>
      </c>
      <c r="D7" s="6" t="s">
        <v>236</v>
      </c>
      <c r="E7" s="7">
        <f>SUM(F7:G7)</f>
        <v>15903.1</v>
      </c>
      <c r="F7" s="7">
        <v>15903.1</v>
      </c>
      <c r="G7" s="7"/>
    </row>
    <row r="8" spans="1:16" x14ac:dyDescent="0.3">
      <c r="A8" s="5">
        <v>46128</v>
      </c>
      <c r="B8" s="6" t="s">
        <v>483</v>
      </c>
      <c r="C8" s="6" t="s">
        <v>257</v>
      </c>
      <c r="D8" s="6" t="s">
        <v>484</v>
      </c>
      <c r="E8" s="7">
        <f>SUM(F8:G8)</f>
        <v>9009.98</v>
      </c>
      <c r="F8" s="7">
        <v>9009.98</v>
      </c>
      <c r="G8" s="7"/>
    </row>
    <row r="9" spans="1:16" x14ac:dyDescent="0.3">
      <c r="A9" s="5">
        <v>46184</v>
      </c>
      <c r="B9" s="6">
        <v>5016</v>
      </c>
      <c r="C9" s="6" t="s">
        <v>257</v>
      </c>
      <c r="D9" s="6" t="s">
        <v>534</v>
      </c>
      <c r="E9" s="7">
        <f t="shared" ref="E9:E14" si="0">SUM(F9:G9)</f>
        <v>5098</v>
      </c>
      <c r="F9" s="7">
        <v>5098</v>
      </c>
      <c r="G9" s="7"/>
    </row>
    <row r="10" spans="1:16" x14ac:dyDescent="0.3">
      <c r="A10" s="5">
        <v>46211</v>
      </c>
      <c r="B10" s="6">
        <v>2123</v>
      </c>
      <c r="C10" s="6" t="s">
        <v>441</v>
      </c>
      <c r="D10" s="6" t="s">
        <v>548</v>
      </c>
      <c r="E10" s="7">
        <f t="shared" si="0"/>
        <v>12000</v>
      </c>
      <c r="F10" s="7"/>
      <c r="G10" s="7">
        <v>12000</v>
      </c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6"/>
      <c r="B15" s="6"/>
      <c r="C15" s="6"/>
      <c r="D15" s="6"/>
      <c r="E15" s="7">
        <f>SUM(F15:G15)</f>
        <v>0</v>
      </c>
      <c r="F15" s="7"/>
      <c r="G15" s="7"/>
    </row>
    <row r="16" spans="1:16" x14ac:dyDescent="0.3">
      <c r="A16" s="6"/>
      <c r="B16" s="6"/>
      <c r="C16" s="6"/>
      <c r="D16" s="6"/>
      <c r="E16" s="7">
        <f>SUM(F16:G16)</f>
        <v>0</v>
      </c>
      <c r="F16" s="7"/>
      <c r="G16" s="7"/>
    </row>
    <row r="17" spans="1:7" x14ac:dyDescent="0.3">
      <c r="A17" s="106" t="s">
        <v>10</v>
      </c>
      <c r="B17" s="106"/>
      <c r="C17" s="106"/>
      <c r="D17" s="8"/>
      <c r="E17" s="9">
        <f>SUM(E6:E16)</f>
        <v>53811.08</v>
      </c>
      <c r="F17" s="9">
        <f>SUM(F6:F16)</f>
        <v>41811.08</v>
      </c>
      <c r="G17" s="9">
        <f>SUM(G6:G16)</f>
        <v>12000</v>
      </c>
    </row>
    <row r="29" spans="1:7" x14ac:dyDescent="0.3">
      <c r="C29" s="28"/>
    </row>
  </sheetData>
  <mergeCells count="2">
    <mergeCell ref="A17:C17"/>
    <mergeCell ref="A1:B1"/>
  </mergeCells>
  <hyperlinks>
    <hyperlink ref="A1:B1" location="Содержание!A1" display="Содержание!A1" xr:uid="{4ED87214-D147-491D-BF64-23B03FC8A580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E422-4C6E-4814-A647-817DCB2B6799}">
  <sheetPr>
    <tabColor rgb="FF92D05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9.2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154</v>
      </c>
      <c r="C3" s="6" t="s">
        <v>155</v>
      </c>
      <c r="D3" s="15" t="s">
        <v>156</v>
      </c>
      <c r="E3" s="14"/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46251</v>
      </c>
      <c r="B6" s="6" t="s">
        <v>404</v>
      </c>
      <c r="C6" s="6" t="s">
        <v>405</v>
      </c>
      <c r="D6" s="6" t="s">
        <v>406</v>
      </c>
      <c r="E6" s="7">
        <f>SUM(F6:G6)</f>
        <v>65548</v>
      </c>
      <c r="F6" s="7">
        <v>65548</v>
      </c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65548</v>
      </c>
      <c r="F11" s="9">
        <f>SUM(F6:F10)</f>
        <v>65548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8F527F60-EC8B-47D8-8D36-409FDF44E518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D6A4-5681-4464-870C-34C9074B64EA}">
  <sheetPr>
    <tabColor rgb="FF92D050"/>
  </sheetPr>
  <dimension ref="A1:P31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157</v>
      </c>
      <c r="C3" s="6" t="s">
        <v>158</v>
      </c>
      <c r="D3" s="15" t="s">
        <v>159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45720</v>
      </c>
      <c r="B6" s="6" t="s">
        <v>300</v>
      </c>
      <c r="C6" s="6" t="s">
        <v>257</v>
      </c>
      <c r="D6" s="6" t="s">
        <v>301</v>
      </c>
      <c r="E6" s="7">
        <f>SUM(F6:G6)</f>
        <v>7750</v>
      </c>
      <c r="F6" s="7">
        <v>7750</v>
      </c>
      <c r="G6" s="7"/>
    </row>
    <row r="7" spans="1:16" x14ac:dyDescent="0.3">
      <c r="A7" s="5">
        <v>46105</v>
      </c>
      <c r="B7" s="6" t="s">
        <v>444</v>
      </c>
      <c r="C7" s="6" t="s">
        <v>435</v>
      </c>
      <c r="D7" s="6" t="s">
        <v>446</v>
      </c>
      <c r="E7" s="7">
        <f>SUM(F7:G7)</f>
        <v>7296</v>
      </c>
      <c r="F7" s="7">
        <v>7296</v>
      </c>
      <c r="G7" s="7"/>
    </row>
    <row r="8" spans="1:16" x14ac:dyDescent="0.3">
      <c r="A8" s="5">
        <v>46224</v>
      </c>
      <c r="B8" s="6">
        <v>2275</v>
      </c>
      <c r="C8" s="6" t="s">
        <v>405</v>
      </c>
      <c r="D8" s="6" t="s">
        <v>558</v>
      </c>
      <c r="E8" s="7">
        <f>SUM(F8:G8)</f>
        <v>119123</v>
      </c>
      <c r="F8" s="7">
        <v>119123</v>
      </c>
      <c r="G8" s="7"/>
    </row>
    <row r="9" spans="1:16" x14ac:dyDescent="0.3">
      <c r="A9" s="5">
        <v>46251</v>
      </c>
      <c r="B9" s="6">
        <v>2615</v>
      </c>
      <c r="C9" s="6" t="s">
        <v>405</v>
      </c>
      <c r="D9" s="6" t="s">
        <v>558</v>
      </c>
      <c r="E9" s="7">
        <f t="shared" ref="E9:E16" si="0">SUM(F9:G9)</f>
        <v>65548</v>
      </c>
      <c r="F9" s="7">
        <v>65548</v>
      </c>
      <c r="G9" s="7"/>
    </row>
    <row r="10" spans="1:16" x14ac:dyDescent="0.3">
      <c r="A10" s="5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0"/>
        <v>0</v>
      </c>
      <c r="F16" s="7"/>
      <c r="G16" s="7"/>
    </row>
    <row r="17" spans="1:7" x14ac:dyDescent="0.3">
      <c r="A17" s="6"/>
      <c r="B17" s="6"/>
      <c r="C17" s="6"/>
      <c r="D17" s="6"/>
      <c r="E17" s="7">
        <f>SUM(F17:G17)</f>
        <v>0</v>
      </c>
      <c r="F17" s="7"/>
      <c r="G17" s="7"/>
    </row>
    <row r="18" spans="1:7" x14ac:dyDescent="0.3">
      <c r="A18" s="6"/>
      <c r="B18" s="6"/>
      <c r="C18" s="6"/>
      <c r="D18" s="6"/>
      <c r="E18" s="7">
        <f>SUM(F18:G18)</f>
        <v>0</v>
      </c>
      <c r="F18" s="7"/>
      <c r="G18" s="7"/>
    </row>
    <row r="19" spans="1:7" x14ac:dyDescent="0.3">
      <c r="A19" s="106" t="s">
        <v>10</v>
      </c>
      <c r="B19" s="106"/>
      <c r="C19" s="106"/>
      <c r="D19" s="8"/>
      <c r="E19" s="9">
        <f>SUM(E6:E18)</f>
        <v>199717</v>
      </c>
      <c r="F19" s="9">
        <f>SUM(F6:F18)</f>
        <v>199717</v>
      </c>
      <c r="G19" s="9">
        <f>SUM(G6:G18)</f>
        <v>0</v>
      </c>
    </row>
    <row r="31" spans="1:7" x14ac:dyDescent="0.3">
      <c r="C31" s="28"/>
    </row>
  </sheetData>
  <mergeCells count="2">
    <mergeCell ref="A19:C19"/>
    <mergeCell ref="A1:B1"/>
  </mergeCells>
  <hyperlinks>
    <hyperlink ref="A1:B1" location="Содержание!A1" display="Содержание!A1" xr:uid="{9B95D4E8-D53D-463A-8ED2-91BCB5AD2620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3B7A-17FB-40BB-BFF0-9478F38C251A}">
  <sheetPr>
    <tabColor rgb="FF92D050"/>
  </sheetPr>
  <dimension ref="A1:P23"/>
  <sheetViews>
    <sheetView workbookViewId="0">
      <selection activeCell="A7" sqref="A7:C7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.600000000000001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160</v>
      </c>
      <c r="C3" s="30" t="s">
        <v>161</v>
      </c>
      <c r="D3" s="15" t="s">
        <v>162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46104</v>
      </c>
      <c r="B6" s="6" t="s">
        <v>434</v>
      </c>
      <c r="C6" s="6" t="s">
        <v>435</v>
      </c>
      <c r="D6" s="6" t="s">
        <v>436</v>
      </c>
      <c r="E6" s="7">
        <f>SUM(F6:G6)</f>
        <v>9200</v>
      </c>
      <c r="F6" s="7">
        <v>9200</v>
      </c>
      <c r="G6" s="7"/>
    </row>
    <row r="7" spans="1:16" x14ac:dyDescent="0.3">
      <c r="A7" s="5">
        <v>46105</v>
      </c>
      <c r="B7" s="6" t="s">
        <v>444</v>
      </c>
      <c r="C7" s="6" t="s">
        <v>435</v>
      </c>
      <c r="D7" s="6" t="s">
        <v>445</v>
      </c>
      <c r="E7" s="7">
        <f>SUM(F7:G7)</f>
        <v>3480</v>
      </c>
      <c r="F7" s="7">
        <v>3480</v>
      </c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12680</v>
      </c>
      <c r="F11" s="9">
        <f>SUM(F6:F10)</f>
        <v>12680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F0A8185C-37D2-4874-9360-707239F42D29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E877-67AF-4A64-BB13-A03EA66BED2A}">
  <sheetPr>
    <tabColor rgb="FF92D05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20" t="s">
        <v>163</v>
      </c>
      <c r="C3" s="31" t="s">
        <v>164</v>
      </c>
      <c r="D3" s="15" t="s">
        <v>165</v>
      </c>
      <c r="E3" s="20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BFE46AFD-DB71-4350-8098-CE0FFD01800E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6A35-CBA8-43FD-88DB-7E05176D3B55}">
  <sheetPr>
    <tabColor rgb="FF92D050"/>
  </sheetPr>
  <dimension ref="A1:P34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.600000000000001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20" t="s">
        <v>168</v>
      </c>
      <c r="C3" s="24" t="s">
        <v>166</v>
      </c>
      <c r="D3" s="15" t="s">
        <v>167</v>
      </c>
      <c r="E3" s="20">
        <v>2005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45604</v>
      </c>
      <c r="B6" s="68" t="s">
        <v>244</v>
      </c>
      <c r="C6" s="6" t="s">
        <v>245</v>
      </c>
      <c r="D6" s="6" t="s">
        <v>246</v>
      </c>
      <c r="E6" s="7">
        <f>SUM(F6:G6)</f>
        <v>1045130</v>
      </c>
      <c r="F6" s="7">
        <v>1045130</v>
      </c>
      <c r="G6" s="7"/>
    </row>
    <row r="7" spans="1:16" x14ac:dyDescent="0.3">
      <c r="A7" s="5">
        <v>45705</v>
      </c>
      <c r="B7" s="6" t="s">
        <v>283</v>
      </c>
      <c r="C7" s="6" t="s">
        <v>284</v>
      </c>
      <c r="D7" s="6" t="s">
        <v>285</v>
      </c>
      <c r="E7" s="7">
        <f>SUM(F7:G7)</f>
        <v>9920</v>
      </c>
      <c r="F7" s="7">
        <v>9920</v>
      </c>
      <c r="G7" s="7"/>
    </row>
    <row r="8" spans="1:16" x14ac:dyDescent="0.3">
      <c r="A8" s="5">
        <v>45739</v>
      </c>
      <c r="B8" s="6">
        <v>22</v>
      </c>
      <c r="C8" s="6" t="s">
        <v>245</v>
      </c>
      <c r="D8" s="6" t="s">
        <v>317</v>
      </c>
      <c r="E8" s="7">
        <f>SUM(F8:G8)</f>
        <v>20000</v>
      </c>
      <c r="F8" s="7"/>
      <c r="G8" s="7">
        <v>20000</v>
      </c>
    </row>
    <row r="9" spans="1:16" x14ac:dyDescent="0.3">
      <c r="A9" s="5">
        <v>46245</v>
      </c>
      <c r="B9" s="6" t="s">
        <v>407</v>
      </c>
      <c r="C9" s="6" t="s">
        <v>408</v>
      </c>
      <c r="D9" s="6" t="s">
        <v>409</v>
      </c>
      <c r="E9" s="7">
        <f>SUM(F9:G9)</f>
        <v>10880</v>
      </c>
      <c r="F9" s="7">
        <v>10880</v>
      </c>
      <c r="G9" s="7"/>
    </row>
    <row r="10" spans="1:16" x14ac:dyDescent="0.3">
      <c r="A10" s="5">
        <v>46114</v>
      </c>
      <c r="B10" s="6">
        <v>40</v>
      </c>
      <c r="C10" s="6" t="s">
        <v>458</v>
      </c>
      <c r="D10" s="6" t="s">
        <v>460</v>
      </c>
      <c r="E10" s="7">
        <f t="shared" ref="E10:E20" si="0">SUM(F10:G10)</f>
        <v>15000</v>
      </c>
      <c r="F10" s="7"/>
      <c r="G10" s="7">
        <v>15000</v>
      </c>
    </row>
    <row r="11" spans="1:16" x14ac:dyDescent="0.3">
      <c r="A11" s="5">
        <v>46118</v>
      </c>
      <c r="B11" s="6">
        <v>137</v>
      </c>
      <c r="C11" s="6" t="s">
        <v>461</v>
      </c>
      <c r="D11" s="6" t="s">
        <v>462</v>
      </c>
      <c r="E11" s="7">
        <f t="shared" si="0"/>
        <v>150000</v>
      </c>
      <c r="F11" s="7"/>
      <c r="G11" s="7">
        <v>150000</v>
      </c>
    </row>
    <row r="12" spans="1:16" x14ac:dyDescent="0.3">
      <c r="A12" s="5">
        <v>46129</v>
      </c>
      <c r="B12" s="6">
        <v>26</v>
      </c>
      <c r="C12" s="6" t="s">
        <v>314</v>
      </c>
      <c r="D12" s="6" t="s">
        <v>473</v>
      </c>
      <c r="E12" s="7">
        <f t="shared" si="0"/>
        <v>33050</v>
      </c>
      <c r="F12" s="7">
        <v>33050</v>
      </c>
      <c r="G12" s="7"/>
    </row>
    <row r="13" spans="1:16" x14ac:dyDescent="0.3">
      <c r="A13" s="5">
        <v>46245</v>
      </c>
      <c r="B13" s="6">
        <v>4126</v>
      </c>
      <c r="C13" s="6" t="s">
        <v>581</v>
      </c>
      <c r="D13" s="6" t="s">
        <v>409</v>
      </c>
      <c r="E13" s="7">
        <f t="shared" si="0"/>
        <v>10880</v>
      </c>
      <c r="F13" s="7">
        <v>10880</v>
      </c>
      <c r="G13" s="7"/>
    </row>
    <row r="14" spans="1:16" x14ac:dyDescent="0.3">
      <c r="A14" s="5">
        <v>46255</v>
      </c>
      <c r="B14" s="6">
        <v>1116</v>
      </c>
      <c r="C14" s="6" t="s">
        <v>586</v>
      </c>
      <c r="D14" s="6" t="s">
        <v>587</v>
      </c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0"/>
        <v>0</v>
      </c>
      <c r="F16" s="7"/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5"/>
      <c r="B18" s="6"/>
      <c r="C18" s="6"/>
      <c r="D18" s="6"/>
      <c r="E18" s="7">
        <f t="shared" si="0"/>
        <v>0</v>
      </c>
      <c r="F18" s="7"/>
      <c r="G18" s="7"/>
    </row>
    <row r="19" spans="1:7" x14ac:dyDescent="0.3">
      <c r="A19" s="5"/>
      <c r="B19" s="6"/>
      <c r="C19" s="6"/>
      <c r="D19" s="6"/>
      <c r="E19" s="7">
        <f t="shared" si="0"/>
        <v>0</v>
      </c>
      <c r="F19" s="7"/>
      <c r="G19" s="7"/>
    </row>
    <row r="20" spans="1:7" x14ac:dyDescent="0.3">
      <c r="A20" s="5"/>
      <c r="B20" s="6"/>
      <c r="C20" s="6"/>
      <c r="D20" s="6"/>
      <c r="E20" s="7">
        <f t="shared" si="0"/>
        <v>0</v>
      </c>
      <c r="F20" s="7"/>
      <c r="G20" s="7"/>
    </row>
    <row r="21" spans="1:7" x14ac:dyDescent="0.3">
      <c r="A21" s="6"/>
      <c r="B21" s="6"/>
      <c r="C21" s="6"/>
      <c r="D21" s="6"/>
      <c r="E21" s="7">
        <f>SUM(F21:G21)</f>
        <v>0</v>
      </c>
      <c r="F21" s="7"/>
      <c r="G21" s="7"/>
    </row>
    <row r="22" spans="1:7" x14ac:dyDescent="0.3">
      <c r="A22" s="106" t="s">
        <v>10</v>
      </c>
      <c r="B22" s="106"/>
      <c r="C22" s="106"/>
      <c r="D22" s="8"/>
      <c r="E22" s="9">
        <f>SUM(E6:E21)</f>
        <v>1294860</v>
      </c>
      <c r="F22" s="9">
        <f>SUM(F6:F21)</f>
        <v>1109860</v>
      </c>
      <c r="G22" s="9">
        <f>SUM(G6:G21)</f>
        <v>185000</v>
      </c>
    </row>
    <row r="34" spans="3:3" x14ac:dyDescent="0.3">
      <c r="C34" s="28"/>
    </row>
  </sheetData>
  <mergeCells count="2">
    <mergeCell ref="A22:C22"/>
    <mergeCell ref="A1:B1"/>
  </mergeCells>
  <hyperlinks>
    <hyperlink ref="A1:B1" location="Содержание!A1" display="Содержание!A1" xr:uid="{9F52C6A9-8178-4E2F-B361-B9BDC7B6CC07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5B8C-7BB2-4D3E-A6BB-7D19D9D9F597}">
  <sheetPr>
    <tabColor rgb="FF92D050"/>
  </sheetPr>
  <dimension ref="A1:P31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.600000000000001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20"/>
      <c r="C3" s="24"/>
      <c r="D3" s="15" t="s">
        <v>451</v>
      </c>
      <c r="E3" s="20">
        <v>2021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46108</v>
      </c>
      <c r="B6" s="68" t="s">
        <v>453</v>
      </c>
      <c r="C6" s="6" t="s">
        <v>435</v>
      </c>
      <c r="D6" s="6" t="s">
        <v>454</v>
      </c>
      <c r="E6" s="7">
        <f>SUM(F6:G6)</f>
        <v>36426</v>
      </c>
      <c r="F6" s="7"/>
      <c r="G6" s="7">
        <v>36426</v>
      </c>
    </row>
    <row r="7" spans="1:16" x14ac:dyDescent="0.3">
      <c r="A7" s="5">
        <v>46134</v>
      </c>
      <c r="B7" s="6">
        <v>178</v>
      </c>
      <c r="C7" s="6" t="s">
        <v>477</v>
      </c>
      <c r="D7" s="6" t="s">
        <v>478</v>
      </c>
      <c r="E7" s="7">
        <f>SUM(F7:G7)</f>
        <v>273013</v>
      </c>
      <c r="F7" s="7"/>
      <c r="G7" s="7">
        <v>273013</v>
      </c>
    </row>
    <row r="8" spans="1:16" x14ac:dyDescent="0.3">
      <c r="A8" s="5">
        <v>46150</v>
      </c>
      <c r="B8" s="6">
        <v>24206</v>
      </c>
      <c r="C8" s="6" t="s">
        <v>370</v>
      </c>
      <c r="D8" s="6" t="s">
        <v>500</v>
      </c>
      <c r="E8" s="7">
        <f>SUM(F8:G8)</f>
        <v>40001.360000000001</v>
      </c>
      <c r="F8" s="7">
        <v>40001.360000000001</v>
      </c>
      <c r="G8" s="7"/>
    </row>
    <row r="9" spans="1:16" x14ac:dyDescent="0.3">
      <c r="A9" s="5">
        <v>46148</v>
      </c>
      <c r="B9" s="6">
        <v>23576</v>
      </c>
      <c r="C9" s="6" t="s">
        <v>370</v>
      </c>
      <c r="D9" s="6" t="s">
        <v>501</v>
      </c>
      <c r="E9" s="7">
        <f>SUM(F9:G9)</f>
        <v>40001.360000000001</v>
      </c>
      <c r="F9" s="7">
        <v>40001.360000000001</v>
      </c>
      <c r="G9" s="7"/>
    </row>
    <row r="10" spans="1:16" x14ac:dyDescent="0.3">
      <c r="A10" s="5">
        <v>46171</v>
      </c>
      <c r="B10" s="6">
        <v>28453</v>
      </c>
      <c r="C10" s="6" t="s">
        <v>370</v>
      </c>
      <c r="D10" s="6" t="s">
        <v>334</v>
      </c>
      <c r="E10" s="7">
        <f t="shared" ref="E10:E17" si="0">SUM(F10:G10)</f>
        <v>21000.47</v>
      </c>
      <c r="F10" s="7">
        <v>21000.47</v>
      </c>
      <c r="G10" s="7"/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0"/>
        <v>0</v>
      </c>
      <c r="F16" s="7"/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6"/>
      <c r="B18" s="6"/>
      <c r="C18" s="6"/>
      <c r="D18" s="6"/>
      <c r="E18" s="7">
        <f>SUM(F18:G18)</f>
        <v>0</v>
      </c>
      <c r="F18" s="7"/>
      <c r="G18" s="7"/>
    </row>
    <row r="19" spans="1:7" x14ac:dyDescent="0.3">
      <c r="A19" s="106" t="s">
        <v>10</v>
      </c>
      <c r="B19" s="106"/>
      <c r="C19" s="106"/>
      <c r="D19" s="8"/>
      <c r="E19" s="9">
        <f>SUM(E6:E18)</f>
        <v>410442.18999999994</v>
      </c>
      <c r="F19" s="9">
        <f>SUM(F6:F18)</f>
        <v>101003.19</v>
      </c>
      <c r="G19" s="9">
        <f>SUM(G6:G18)</f>
        <v>309439</v>
      </c>
    </row>
    <row r="31" spans="1:7" x14ac:dyDescent="0.3">
      <c r="C31" s="28"/>
    </row>
  </sheetData>
  <mergeCells count="2">
    <mergeCell ref="A1:B1"/>
    <mergeCell ref="A19:C19"/>
  </mergeCells>
  <hyperlinks>
    <hyperlink ref="A1:B1" location="Содержание!A1" display="Содержание!A1" xr:uid="{C0472CD7-74CD-4C96-A036-7E0552004F04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657C-D1CF-4481-B81A-86F9D02A402F}">
  <sheetPr>
    <tabColor rgb="FF92D050"/>
  </sheetPr>
  <dimension ref="A1:P23"/>
  <sheetViews>
    <sheetView workbookViewId="0">
      <selection activeCell="C9" sqref="C9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8" width="10.109375" style="2" customWidth="1"/>
    <col min="9" max="16" width="8.88671875" style="2"/>
  </cols>
  <sheetData>
    <row r="1" spans="1:16" ht="1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169</v>
      </c>
      <c r="C3" s="14" t="s">
        <v>170</v>
      </c>
      <c r="D3" s="15" t="s">
        <v>171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4" t="s">
        <v>380</v>
      </c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46201</v>
      </c>
      <c r="B6" s="6"/>
      <c r="C6" s="6"/>
      <c r="D6" s="6" t="s">
        <v>379</v>
      </c>
      <c r="E6" s="7">
        <f>SUM(F6:G6)</f>
        <v>0</v>
      </c>
      <c r="F6" s="7"/>
      <c r="G6" s="7"/>
      <c r="H6" s="14">
        <v>2350</v>
      </c>
    </row>
    <row r="7" spans="1:16" x14ac:dyDescent="0.3">
      <c r="A7" s="5">
        <v>46171</v>
      </c>
      <c r="B7" s="6">
        <v>28232</v>
      </c>
      <c r="C7" s="6" t="s">
        <v>370</v>
      </c>
      <c r="D7" s="6" t="s">
        <v>525</v>
      </c>
      <c r="E7" s="7">
        <f>SUM(F7:G7)</f>
        <v>9775.25</v>
      </c>
      <c r="F7" s="7">
        <v>9775.25</v>
      </c>
      <c r="G7" s="7"/>
      <c r="H7" s="14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  <c r="H8" s="14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  <c r="H9" s="14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  <c r="H10" s="14"/>
    </row>
    <row r="11" spans="1:16" x14ac:dyDescent="0.3">
      <c r="A11" s="106" t="s">
        <v>10</v>
      </c>
      <c r="B11" s="106"/>
      <c r="C11" s="106"/>
      <c r="D11" s="8"/>
      <c r="E11" s="9">
        <f>SUM(E6:E10)</f>
        <v>9775.25</v>
      </c>
      <c r="F11" s="9">
        <f>SUM(F6:F10)</f>
        <v>9775.25</v>
      </c>
      <c r="G11" s="9">
        <f>SUM(G6:G10)</f>
        <v>0</v>
      </c>
      <c r="H11" s="14"/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223D7FCF-7196-4101-9F8B-18E86802C003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E94A-6BAB-4E35-9940-D0660C22E877}">
  <sheetPr>
    <tabColor rgb="FF92D05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7.8867187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.600000000000001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186</v>
      </c>
      <c r="C3" s="14">
        <v>6152062</v>
      </c>
      <c r="D3" s="15" t="s">
        <v>187</v>
      </c>
      <c r="E3" s="14">
        <v>2019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B4C1C8DE-0679-4147-B87A-4970BC3D006C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AB4D-C348-4A67-A235-1FBD1CF4290C}">
  <sheetPr>
    <tabColor rgb="FF92D05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2.2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172</v>
      </c>
      <c r="C3" s="14" t="s">
        <v>173</v>
      </c>
      <c r="D3" s="15" t="s">
        <v>174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5D3DAB7D-CEA6-44E0-8BD7-719709492F26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A9CA-F000-44B7-BFBC-C174F583F495}">
  <sheetPr>
    <tabColor rgb="FF92D05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175</v>
      </c>
      <c r="C3" s="14" t="s">
        <v>176</v>
      </c>
      <c r="D3" s="15" t="s">
        <v>174</v>
      </c>
      <c r="E3" s="14">
        <v>2022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3347E8D4-0CD9-4A9D-A68E-AFD19CBA4E57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71A0-73D5-44F7-A00A-D7C66F9796DC}">
  <sheetPr>
    <tabColor rgb="FF92D05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.6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20" t="s">
        <v>177</v>
      </c>
      <c r="C3" s="20" t="s">
        <v>178</v>
      </c>
      <c r="D3" s="15" t="s">
        <v>179</v>
      </c>
      <c r="E3" s="20">
        <v>2013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46104</v>
      </c>
      <c r="B6" s="6">
        <v>866</v>
      </c>
      <c r="C6" s="6" t="s">
        <v>441</v>
      </c>
      <c r="D6" s="6" t="s">
        <v>442</v>
      </c>
      <c r="E6" s="7">
        <f>SUM(F6:G6)</f>
        <v>86050</v>
      </c>
      <c r="F6" s="7">
        <v>60050</v>
      </c>
      <c r="G6" s="7">
        <v>26000</v>
      </c>
    </row>
    <row r="7" spans="1:16" x14ac:dyDescent="0.3">
      <c r="A7" s="5">
        <v>46199</v>
      </c>
      <c r="B7" s="6">
        <v>2461</v>
      </c>
      <c r="C7" s="6" t="s">
        <v>504</v>
      </c>
      <c r="D7" s="6" t="s">
        <v>542</v>
      </c>
      <c r="E7" s="7">
        <f>SUM(F7:G7)</f>
        <v>12812</v>
      </c>
      <c r="F7" s="7">
        <v>12812</v>
      </c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98862</v>
      </c>
      <c r="F11" s="9">
        <f>SUM(F6:F10)</f>
        <v>72862</v>
      </c>
      <c r="G11" s="9">
        <f>SUM(G6:G10)</f>
        <v>26000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E54C2F92-1863-4060-9234-42B49BC55639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9B52-4E46-407F-A4C8-8EA13F79F54F}">
  <sheetPr>
    <tabColor rgb="FF92D050"/>
  </sheetPr>
  <dimension ref="A1:P31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.600000000000001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3" t="s">
        <v>188</v>
      </c>
      <c r="C3" s="13" t="s">
        <v>189</v>
      </c>
      <c r="D3" s="27" t="s">
        <v>190</v>
      </c>
      <c r="E3" s="13">
        <v>2005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45638</v>
      </c>
      <c r="B6" s="6">
        <v>285</v>
      </c>
      <c r="C6" s="6" t="s">
        <v>235</v>
      </c>
      <c r="D6" s="6" t="s">
        <v>236</v>
      </c>
      <c r="E6" s="7">
        <f t="shared" ref="E6:E19" si="0">SUM(F6:G6)</f>
        <v>104814.6</v>
      </c>
      <c r="F6" s="7">
        <v>104814.6</v>
      </c>
      <c r="G6" s="7"/>
    </row>
    <row r="7" spans="1:16" x14ac:dyDescent="0.3">
      <c r="A7" s="5">
        <v>45677</v>
      </c>
      <c r="B7" s="6">
        <v>125</v>
      </c>
      <c r="C7" s="6" t="s">
        <v>259</v>
      </c>
      <c r="D7" s="6" t="s">
        <v>260</v>
      </c>
      <c r="E7" s="7">
        <f t="shared" si="0"/>
        <v>36600</v>
      </c>
      <c r="F7" s="7">
        <v>27700</v>
      </c>
      <c r="G7" s="7">
        <v>8900</v>
      </c>
    </row>
    <row r="8" spans="1:16" x14ac:dyDescent="0.3">
      <c r="A8" s="5">
        <v>46238</v>
      </c>
      <c r="B8" s="6">
        <v>1495</v>
      </c>
      <c r="C8" s="6" t="s">
        <v>400</v>
      </c>
      <c r="D8" s="6" t="s">
        <v>334</v>
      </c>
      <c r="E8" s="7">
        <f t="shared" si="0"/>
        <v>15600</v>
      </c>
      <c r="F8" s="7">
        <v>15600</v>
      </c>
      <c r="G8" s="7"/>
    </row>
    <row r="9" spans="1:16" x14ac:dyDescent="0.3">
      <c r="A9" s="5">
        <v>46257</v>
      </c>
      <c r="B9" s="6" t="s">
        <v>410</v>
      </c>
      <c r="C9" s="6" t="s">
        <v>398</v>
      </c>
      <c r="D9" s="6" t="s">
        <v>411</v>
      </c>
      <c r="E9" s="7">
        <f t="shared" si="0"/>
        <v>3400</v>
      </c>
      <c r="F9" s="7">
        <v>3400</v>
      </c>
      <c r="G9" s="7"/>
    </row>
    <row r="10" spans="1:16" x14ac:dyDescent="0.3">
      <c r="A10" s="5">
        <v>46171</v>
      </c>
      <c r="B10" s="6">
        <v>70</v>
      </c>
      <c r="C10" s="6" t="s">
        <v>530</v>
      </c>
      <c r="D10" s="6" t="s">
        <v>531</v>
      </c>
      <c r="E10" s="7">
        <f t="shared" si="0"/>
        <v>190000</v>
      </c>
      <c r="F10" s="7"/>
      <c r="G10" s="7">
        <v>190000</v>
      </c>
    </row>
    <row r="11" spans="1:16" x14ac:dyDescent="0.3">
      <c r="A11" s="5">
        <v>46155</v>
      </c>
      <c r="B11" s="6">
        <v>426</v>
      </c>
      <c r="C11" s="6" t="s">
        <v>532</v>
      </c>
      <c r="D11" s="6" t="s">
        <v>533</v>
      </c>
      <c r="E11" s="7">
        <f t="shared" si="0"/>
        <v>31508</v>
      </c>
      <c r="F11" s="7">
        <v>31508</v>
      </c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0"/>
        <v>0</v>
      </c>
      <c r="F16" s="7"/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6"/>
      <c r="B18" s="6"/>
      <c r="C18" s="6"/>
      <c r="D18" s="6"/>
      <c r="E18" s="7">
        <f t="shared" si="0"/>
        <v>0</v>
      </c>
      <c r="F18" s="7"/>
      <c r="G18" s="7"/>
    </row>
    <row r="19" spans="1:7" x14ac:dyDescent="0.3">
      <c r="A19" s="106" t="s">
        <v>10</v>
      </c>
      <c r="B19" s="106"/>
      <c r="C19" s="106"/>
      <c r="D19" s="8"/>
      <c r="E19" s="9">
        <f t="shared" si="0"/>
        <v>381922.6</v>
      </c>
      <c r="F19" s="9">
        <f>SUM(F6:F18)</f>
        <v>183022.6</v>
      </c>
      <c r="G19" s="9">
        <f>SUM(G6:G18)</f>
        <v>198900</v>
      </c>
    </row>
    <row r="31" spans="1:7" x14ac:dyDescent="0.3">
      <c r="C31" s="28"/>
    </row>
  </sheetData>
  <mergeCells count="2">
    <mergeCell ref="A19:C19"/>
    <mergeCell ref="A1:B1"/>
  </mergeCells>
  <hyperlinks>
    <hyperlink ref="A1" location="Содержание!A1" display="Содержание!A1" xr:uid="{9963FC0C-0520-4D95-B390-EC7B59D1648C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53EE-CC4C-4F63-B8C6-DF5054B7F644}">
  <sheetPr>
    <tabColor rgb="FF92D05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5.6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180</v>
      </c>
      <c r="C3" s="14" t="s">
        <v>181</v>
      </c>
      <c r="D3" s="15" t="s">
        <v>182</v>
      </c>
      <c r="E3" s="14">
        <v>2024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6E035AE4-A3C3-4CC9-AA05-354FC6591946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94DC-BDF4-44CF-9CCB-DDB7EF2FBF4B}">
  <sheetPr>
    <tabColor rgb="FF92D05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2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183</v>
      </c>
      <c r="C3" s="14" t="s">
        <v>184</v>
      </c>
      <c r="D3" s="15" t="s">
        <v>185</v>
      </c>
      <c r="E3" s="14">
        <v>2024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D34BE767-F43B-4EF5-B6C6-C29B6438E9DB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C50A-D23F-4E18-AE13-67DD01A2CE94}">
  <sheetPr>
    <tabColor rgb="FF92D050"/>
  </sheetPr>
  <dimension ref="A1:P23"/>
  <sheetViews>
    <sheetView workbookViewId="0">
      <selection activeCell="E6" sqref="E6:E1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6.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191</v>
      </c>
      <c r="C3" s="23" t="s">
        <v>192</v>
      </c>
      <c r="D3" s="15" t="s">
        <v>193</v>
      </c>
      <c r="E3" s="14">
        <v>2010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301079C1-0A7F-4CDF-92C4-517D2BA1FC5D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2FF3-CD58-4063-8C76-9EFEA65DDE9F}">
  <sheetPr>
    <tabColor rgb="FF92D050"/>
  </sheetPr>
  <dimension ref="A1:P31"/>
  <sheetViews>
    <sheetView workbookViewId="0">
      <selection activeCell="A14" sqref="A14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2.2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194</v>
      </c>
      <c r="C3" s="23" t="s">
        <v>195</v>
      </c>
      <c r="D3" s="15" t="s">
        <v>196</v>
      </c>
      <c r="E3" s="14">
        <v>2011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45637</v>
      </c>
      <c r="B6" s="6">
        <v>281</v>
      </c>
      <c r="C6" s="6" t="s">
        <v>235</v>
      </c>
      <c r="D6" s="6" t="s">
        <v>236</v>
      </c>
      <c r="E6" s="7">
        <f>SUM(F6:G6)</f>
        <v>763057.5</v>
      </c>
      <c r="F6" s="7">
        <v>763057.5</v>
      </c>
      <c r="G6" s="7"/>
    </row>
    <row r="7" spans="1:16" x14ac:dyDescent="0.3">
      <c r="A7" s="5">
        <v>45747</v>
      </c>
      <c r="B7" s="6">
        <v>458679690</v>
      </c>
      <c r="C7" s="6" t="s">
        <v>319</v>
      </c>
      <c r="D7" s="6" t="s">
        <v>321</v>
      </c>
      <c r="E7" s="7">
        <f>SUM(F7:G7)</f>
        <v>30441.31</v>
      </c>
      <c r="F7" s="7">
        <v>30441.31</v>
      </c>
      <c r="G7" s="7"/>
    </row>
    <row r="8" spans="1:16" x14ac:dyDescent="0.3">
      <c r="A8" s="5">
        <v>45747</v>
      </c>
      <c r="B8" s="6">
        <v>458705428</v>
      </c>
      <c r="C8" s="6" t="s">
        <v>319</v>
      </c>
      <c r="D8" s="6" t="s">
        <v>320</v>
      </c>
      <c r="E8" s="7">
        <f>SUM(F8:G8)</f>
        <v>30150</v>
      </c>
      <c r="F8" s="7">
        <v>30150</v>
      </c>
      <c r="G8" s="7"/>
    </row>
    <row r="9" spans="1:16" x14ac:dyDescent="0.3">
      <c r="A9" s="5">
        <v>45761</v>
      </c>
      <c r="B9" s="6">
        <v>3010</v>
      </c>
      <c r="C9" s="6" t="s">
        <v>322</v>
      </c>
      <c r="D9" s="6" t="s">
        <v>323</v>
      </c>
      <c r="E9" s="7">
        <f>SUM(F9:G9)</f>
        <v>95000</v>
      </c>
      <c r="F9" s="7">
        <v>95000</v>
      </c>
      <c r="G9" s="7"/>
    </row>
    <row r="10" spans="1:16" x14ac:dyDescent="0.3">
      <c r="A10" s="5">
        <v>46141</v>
      </c>
      <c r="B10" s="6">
        <v>1001</v>
      </c>
      <c r="C10" s="6" t="s">
        <v>486</v>
      </c>
      <c r="D10" s="6" t="s">
        <v>487</v>
      </c>
      <c r="E10" s="7">
        <f t="shared" ref="E10:E18" si="0">SUM(F10:G10)</f>
        <v>18000</v>
      </c>
      <c r="F10" s="7"/>
      <c r="G10" s="7">
        <v>18000</v>
      </c>
    </row>
    <row r="11" spans="1:16" x14ac:dyDescent="0.3">
      <c r="A11" s="5">
        <v>4</v>
      </c>
      <c r="B11" s="5">
        <v>46148</v>
      </c>
      <c r="C11" s="6" t="s">
        <v>509</v>
      </c>
      <c r="D11" s="6" t="s">
        <v>510</v>
      </c>
      <c r="E11" s="7">
        <f t="shared" si="0"/>
        <v>150000</v>
      </c>
      <c r="F11" s="7">
        <v>150000</v>
      </c>
      <c r="G11" s="7"/>
    </row>
    <row r="12" spans="1:16" x14ac:dyDescent="0.3">
      <c r="A12" s="5">
        <v>46163</v>
      </c>
      <c r="B12" s="6">
        <v>1030</v>
      </c>
      <c r="C12" s="6" t="s">
        <v>463</v>
      </c>
      <c r="D12" s="6" t="s">
        <v>519</v>
      </c>
      <c r="E12" s="7">
        <f t="shared" si="0"/>
        <v>371400</v>
      </c>
      <c r="F12" s="7"/>
      <c r="G12" s="7">
        <v>371400</v>
      </c>
    </row>
    <row r="13" spans="1:16" x14ac:dyDescent="0.3">
      <c r="A13" s="5">
        <v>46239</v>
      </c>
      <c r="B13" s="6" t="s">
        <v>571</v>
      </c>
      <c r="C13" s="6" t="s">
        <v>530</v>
      </c>
      <c r="D13" s="6" t="s">
        <v>572</v>
      </c>
      <c r="E13" s="7">
        <f t="shared" si="0"/>
        <v>32000</v>
      </c>
      <c r="F13" s="7"/>
      <c r="G13" s="7">
        <v>32000</v>
      </c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5"/>
      <c r="B16" s="6"/>
      <c r="C16" s="6"/>
      <c r="D16" s="6"/>
      <c r="E16" s="7">
        <f t="shared" si="0"/>
        <v>0</v>
      </c>
      <c r="F16" s="7"/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5"/>
      <c r="B18" s="6"/>
      <c r="C18" s="6"/>
      <c r="D18" s="6"/>
      <c r="E18" s="7">
        <f t="shared" si="0"/>
        <v>0</v>
      </c>
      <c r="F18" s="7"/>
      <c r="G18" s="7"/>
    </row>
    <row r="19" spans="1:7" x14ac:dyDescent="0.3">
      <c r="A19" s="106" t="s">
        <v>10</v>
      </c>
      <c r="B19" s="106"/>
      <c r="C19" s="106"/>
      <c r="D19" s="8"/>
      <c r="E19" s="9">
        <f>SUM(E6:E18)</f>
        <v>1490048.81</v>
      </c>
      <c r="F19" s="9">
        <f>SUM(F6:F18)</f>
        <v>1068648.81</v>
      </c>
      <c r="G19" s="9">
        <f>SUM(G6:G18)</f>
        <v>421400</v>
      </c>
    </row>
    <row r="31" spans="1:7" x14ac:dyDescent="0.3">
      <c r="C31" s="28"/>
    </row>
  </sheetData>
  <mergeCells count="2">
    <mergeCell ref="A19:C19"/>
    <mergeCell ref="A1:B1"/>
  </mergeCells>
  <hyperlinks>
    <hyperlink ref="A1:B1" location="Содержание!A1" display="Содержание!A1" xr:uid="{9F1313CC-B586-4931-A5D1-C0F598B507CE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6241-82AD-4786-80D7-3CA59ADAD3EA}">
  <sheetPr>
    <tabColor rgb="FF92D050"/>
  </sheetPr>
  <dimension ref="A1:P30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7.399999999999999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197</v>
      </c>
      <c r="C3" s="23" t="s">
        <v>198</v>
      </c>
      <c r="D3" s="15" t="s">
        <v>199</v>
      </c>
      <c r="E3" s="14">
        <v>2012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45637</v>
      </c>
      <c r="B6" s="6">
        <v>281</v>
      </c>
      <c r="C6" s="6" t="s">
        <v>235</v>
      </c>
      <c r="D6" s="6" t="s">
        <v>236</v>
      </c>
      <c r="E6" s="7">
        <f>SUM(F6:G6)</f>
        <v>763057.5</v>
      </c>
      <c r="F6" s="7">
        <v>763057.5</v>
      </c>
      <c r="G6" s="7"/>
    </row>
    <row r="7" spans="1:16" x14ac:dyDescent="0.3">
      <c r="A7" s="5">
        <v>45747</v>
      </c>
      <c r="B7" s="6">
        <v>458705428</v>
      </c>
      <c r="C7" s="6" t="s">
        <v>319</v>
      </c>
      <c r="D7" s="6" t="s">
        <v>320</v>
      </c>
      <c r="E7" s="7">
        <f>SUM(F7:G7)</f>
        <v>30150</v>
      </c>
      <c r="F7" s="7">
        <v>30150</v>
      </c>
      <c r="G7" s="7"/>
    </row>
    <row r="8" spans="1:16" x14ac:dyDescent="0.3">
      <c r="A8" s="5">
        <v>46141</v>
      </c>
      <c r="B8" s="6">
        <v>1001</v>
      </c>
      <c r="C8" s="6" t="s">
        <v>486</v>
      </c>
      <c r="D8" s="6" t="s">
        <v>487</v>
      </c>
      <c r="E8" s="7">
        <f>SUM(F8:G8)</f>
        <v>18000</v>
      </c>
      <c r="F8" s="7"/>
      <c r="G8" s="7">
        <v>18000</v>
      </c>
    </row>
    <row r="9" spans="1:16" x14ac:dyDescent="0.3">
      <c r="A9" s="5">
        <v>46240</v>
      </c>
      <c r="B9" s="6">
        <v>22</v>
      </c>
      <c r="C9" s="6" t="s">
        <v>530</v>
      </c>
      <c r="D9" s="6" t="s">
        <v>579</v>
      </c>
      <c r="E9" s="7">
        <f t="shared" ref="E9:E15" si="0">SUM(F9:G9)</f>
        <v>19200</v>
      </c>
      <c r="F9" s="7">
        <v>19200</v>
      </c>
      <c r="G9" s="7"/>
    </row>
    <row r="10" spans="1:16" x14ac:dyDescent="0.3">
      <c r="A10" s="5">
        <v>46258</v>
      </c>
      <c r="B10" s="6" t="s">
        <v>590</v>
      </c>
      <c r="C10" s="6" t="s">
        <v>530</v>
      </c>
      <c r="D10" s="6" t="s">
        <v>591</v>
      </c>
      <c r="E10" s="7">
        <f t="shared" si="0"/>
        <v>41200</v>
      </c>
      <c r="F10" s="7">
        <v>11200</v>
      </c>
      <c r="G10" s="7">
        <v>30000</v>
      </c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5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5"/>
      <c r="B14" s="6"/>
      <c r="C14" s="6"/>
      <c r="D14" s="6"/>
      <c r="E14" s="7">
        <f t="shared" si="0"/>
        <v>0</v>
      </c>
      <c r="F14" s="7"/>
      <c r="G14" s="7"/>
    </row>
    <row r="15" spans="1:16" x14ac:dyDescent="0.3">
      <c r="A15" s="5"/>
      <c r="B15" s="6"/>
      <c r="C15" s="6"/>
      <c r="D15" s="6"/>
      <c r="E15" s="7">
        <f t="shared" si="0"/>
        <v>0</v>
      </c>
      <c r="F15" s="7"/>
      <c r="G15" s="7"/>
    </row>
    <row r="16" spans="1:16" x14ac:dyDescent="0.3">
      <c r="A16" s="6"/>
      <c r="B16" s="6"/>
      <c r="C16" s="6"/>
      <c r="D16" s="6"/>
      <c r="E16" s="7">
        <f>SUM(F16:G16)</f>
        <v>0</v>
      </c>
      <c r="F16" s="7"/>
      <c r="G16" s="7"/>
    </row>
    <row r="17" spans="1:7" x14ac:dyDescent="0.3">
      <c r="A17" s="6"/>
      <c r="B17" s="6"/>
      <c r="C17" s="6"/>
      <c r="D17" s="6"/>
      <c r="E17" s="7">
        <f>SUM(F17:G17)</f>
        <v>0</v>
      </c>
      <c r="F17" s="7"/>
      <c r="G17" s="7"/>
    </row>
    <row r="18" spans="1:7" x14ac:dyDescent="0.3">
      <c r="A18" s="106" t="s">
        <v>10</v>
      </c>
      <c r="B18" s="106"/>
      <c r="C18" s="106"/>
      <c r="D18" s="8"/>
      <c r="E18" s="9">
        <f>SUM(E6:E17)</f>
        <v>871607.5</v>
      </c>
      <c r="F18" s="9">
        <f>SUM(F6:F17)</f>
        <v>823607.5</v>
      </c>
      <c r="G18" s="9">
        <f>SUM(G6:G17)</f>
        <v>48000</v>
      </c>
    </row>
    <row r="30" spans="1:7" x14ac:dyDescent="0.3">
      <c r="C30" s="28"/>
    </row>
  </sheetData>
  <mergeCells count="2">
    <mergeCell ref="A18:C18"/>
    <mergeCell ref="A1:B1"/>
  </mergeCells>
  <hyperlinks>
    <hyperlink ref="A1:B1" location="Содержание!A1" display="Содержание!A1" xr:uid="{76BB9E4D-A043-473D-ACE2-F4FCB5FB0737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237E-1C2C-4437-B6B5-0899B1901A97}">
  <sheetPr>
    <tabColor rgb="FF92D050"/>
  </sheetPr>
  <dimension ref="A1:P28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2.66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9.2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3" t="s">
        <v>200</v>
      </c>
      <c r="C3" s="23" t="s">
        <v>201</v>
      </c>
      <c r="D3" s="15" t="s">
        <v>202</v>
      </c>
      <c r="E3" s="14">
        <v>2008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45638</v>
      </c>
      <c r="B6" s="6">
        <v>284</v>
      </c>
      <c r="C6" s="6" t="s">
        <v>235</v>
      </c>
      <c r="D6" s="6" t="s">
        <v>236</v>
      </c>
      <c r="E6" s="7">
        <f>SUM(F6:G6)</f>
        <v>1512176.04</v>
      </c>
      <c r="F6" s="7">
        <v>1512176.04</v>
      </c>
      <c r="G6" s="7"/>
    </row>
    <row r="7" spans="1:16" x14ac:dyDescent="0.3">
      <c r="A7" s="5">
        <v>46191</v>
      </c>
      <c r="B7" s="6">
        <v>55</v>
      </c>
      <c r="C7" s="6" t="s">
        <v>509</v>
      </c>
      <c r="D7" s="6" t="s">
        <v>536</v>
      </c>
      <c r="E7" s="7">
        <f>SUM(F7:G7)</f>
        <v>44000</v>
      </c>
      <c r="F7" s="7"/>
      <c r="G7" s="7">
        <v>44000</v>
      </c>
    </row>
    <row r="8" spans="1:16" x14ac:dyDescent="0.3">
      <c r="A8" s="5">
        <v>46259</v>
      </c>
      <c r="B8" s="6">
        <v>3214</v>
      </c>
      <c r="C8" s="6" t="s">
        <v>594</v>
      </c>
      <c r="D8" s="6" t="s">
        <v>595</v>
      </c>
      <c r="E8" s="7">
        <f t="shared" ref="E8:E13" si="0">SUM(F8:G8)</f>
        <v>40657.26</v>
      </c>
      <c r="F8" s="7">
        <v>40657.26</v>
      </c>
      <c r="G8" s="7"/>
    </row>
    <row r="9" spans="1:16" x14ac:dyDescent="0.3">
      <c r="A9" s="5"/>
      <c r="B9" s="6"/>
      <c r="C9" s="6"/>
      <c r="D9" s="6"/>
      <c r="E9" s="7">
        <f t="shared" si="0"/>
        <v>0</v>
      </c>
      <c r="F9" s="7"/>
      <c r="G9" s="7"/>
    </row>
    <row r="10" spans="1:16" x14ac:dyDescent="0.3">
      <c r="A10" s="5"/>
      <c r="B10" s="6"/>
      <c r="C10" s="6"/>
      <c r="D10" s="6"/>
      <c r="E10" s="7">
        <f t="shared" si="0"/>
        <v>0</v>
      </c>
      <c r="F10" s="7"/>
      <c r="G10" s="7"/>
    </row>
    <row r="11" spans="1:16" x14ac:dyDescent="0.3">
      <c r="A11" s="5"/>
      <c r="B11" s="6"/>
      <c r="C11" s="6"/>
      <c r="D11" s="6"/>
      <c r="E11" s="7">
        <f t="shared" si="0"/>
        <v>0</v>
      </c>
      <c r="F11" s="7"/>
      <c r="G11" s="7"/>
    </row>
    <row r="12" spans="1:16" x14ac:dyDescent="0.3">
      <c r="A12" s="5"/>
      <c r="B12" s="6"/>
      <c r="C12" s="6"/>
      <c r="D12" s="6"/>
      <c r="E12" s="7">
        <f t="shared" si="0"/>
        <v>0</v>
      </c>
      <c r="F12" s="7"/>
      <c r="G12" s="7"/>
    </row>
    <row r="13" spans="1:16" x14ac:dyDescent="0.3">
      <c r="A13" s="6"/>
      <c r="B13" s="6"/>
      <c r="C13" s="6"/>
      <c r="D13" s="6"/>
      <c r="E13" s="7">
        <f t="shared" si="0"/>
        <v>0</v>
      </c>
      <c r="F13" s="7"/>
      <c r="G13" s="7"/>
    </row>
    <row r="14" spans="1:16" x14ac:dyDescent="0.3">
      <c r="A14" s="6"/>
      <c r="B14" s="6"/>
      <c r="C14" s="6"/>
      <c r="D14" s="6"/>
      <c r="E14" s="7">
        <f>SUM(F14:G14)</f>
        <v>0</v>
      </c>
      <c r="F14" s="7"/>
      <c r="G14" s="7"/>
    </row>
    <row r="15" spans="1:16" x14ac:dyDescent="0.3">
      <c r="A15" s="6"/>
      <c r="B15" s="6"/>
      <c r="C15" s="6"/>
      <c r="D15" s="6"/>
      <c r="E15" s="7">
        <f>SUM(F15:G15)</f>
        <v>0</v>
      </c>
      <c r="F15" s="7"/>
      <c r="G15" s="7"/>
    </row>
    <row r="16" spans="1:16" x14ac:dyDescent="0.3">
      <c r="A16" s="106" t="s">
        <v>10</v>
      </c>
      <c r="B16" s="106"/>
      <c r="C16" s="106"/>
      <c r="D16" s="8"/>
      <c r="E16" s="74">
        <f>SUM(E6:E15)</f>
        <v>1596833.3</v>
      </c>
      <c r="F16" s="9">
        <f>SUM(F6:F15)</f>
        <v>1552833.3</v>
      </c>
      <c r="G16" s="9">
        <f>SUM(G6:G15)</f>
        <v>44000</v>
      </c>
    </row>
    <row r="28" spans="3:3" x14ac:dyDescent="0.3">
      <c r="C28" s="28"/>
    </row>
  </sheetData>
  <mergeCells count="2">
    <mergeCell ref="A16:C16"/>
    <mergeCell ref="A1:B1"/>
  </mergeCells>
  <hyperlinks>
    <hyperlink ref="A1:B1" location="Содержание!A1" display="Содержание!A1" xr:uid="{6E864CA8-F5AD-4CA0-A9FA-702150DAED3A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4C31-13ED-425F-94D8-CB8C1300CE0A}">
  <sheetPr>
    <tabColor rgb="FF92D050"/>
  </sheetPr>
  <dimension ref="A1:P36"/>
  <sheetViews>
    <sheetView workbookViewId="0">
      <selection activeCell="F20" sqref="F20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203</v>
      </c>
      <c r="C3" s="23" t="s">
        <v>204</v>
      </c>
      <c r="D3" s="15" t="s">
        <v>205</v>
      </c>
      <c r="E3" s="14">
        <v>2012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45638</v>
      </c>
      <c r="B6" s="6">
        <v>287</v>
      </c>
      <c r="C6" s="6" t="s">
        <v>235</v>
      </c>
      <c r="D6" s="6" t="s">
        <v>236</v>
      </c>
      <c r="E6" s="7">
        <f>SUM(F6:G6)</f>
        <v>128337.5</v>
      </c>
      <c r="F6" s="7">
        <v>128337.5</v>
      </c>
      <c r="G6" s="7"/>
    </row>
    <row r="7" spans="1:16" x14ac:dyDescent="0.3">
      <c r="A7" s="5">
        <v>45643</v>
      </c>
      <c r="B7" s="6">
        <v>762</v>
      </c>
      <c r="C7" s="6" t="s">
        <v>237</v>
      </c>
      <c r="D7" s="6" t="s">
        <v>236</v>
      </c>
      <c r="E7" s="7">
        <f>SUM(F7:G7)</f>
        <v>455360</v>
      </c>
      <c r="F7" s="7">
        <v>455360</v>
      </c>
      <c r="G7" s="7"/>
    </row>
    <row r="8" spans="1:16" x14ac:dyDescent="0.3">
      <c r="A8" s="5">
        <v>45740</v>
      </c>
      <c r="B8" s="6">
        <v>23</v>
      </c>
      <c r="C8" s="6" t="s">
        <v>314</v>
      </c>
      <c r="D8" s="6" t="s">
        <v>315</v>
      </c>
      <c r="E8" s="7">
        <f>SUM(F8:G8)</f>
        <v>825310</v>
      </c>
      <c r="F8" s="7">
        <v>825310</v>
      </c>
      <c r="G8" s="7"/>
    </row>
    <row r="9" spans="1:16" x14ac:dyDescent="0.3">
      <c r="A9" s="5">
        <v>45739</v>
      </c>
      <c r="B9" s="6">
        <v>22</v>
      </c>
      <c r="C9" s="6" t="s">
        <v>314</v>
      </c>
      <c r="D9" s="6" t="s">
        <v>316</v>
      </c>
      <c r="E9" s="7">
        <f>SUM(F9:G9)</f>
        <v>35000</v>
      </c>
      <c r="F9" s="7"/>
      <c r="G9" s="7">
        <v>35000</v>
      </c>
    </row>
    <row r="10" spans="1:16" x14ac:dyDescent="0.3">
      <c r="A10" s="5">
        <v>46107</v>
      </c>
      <c r="B10" s="6">
        <v>277</v>
      </c>
      <c r="C10" s="6" t="s">
        <v>447</v>
      </c>
      <c r="D10" s="6" t="s">
        <v>448</v>
      </c>
      <c r="E10" s="7">
        <f t="shared" ref="E10:E22" si="0">SUM(F10:G10)</f>
        <v>24000</v>
      </c>
      <c r="F10" s="7">
        <v>24000</v>
      </c>
      <c r="G10" s="7"/>
    </row>
    <row r="11" spans="1:16" x14ac:dyDescent="0.3">
      <c r="A11" s="5">
        <v>46119</v>
      </c>
      <c r="B11" s="6">
        <v>1066</v>
      </c>
      <c r="C11" s="6" t="s">
        <v>463</v>
      </c>
      <c r="D11" s="6" t="s">
        <v>464</v>
      </c>
      <c r="E11" s="7">
        <f t="shared" si="0"/>
        <v>303800</v>
      </c>
      <c r="F11" s="7"/>
      <c r="G11" s="7">
        <v>303800</v>
      </c>
    </row>
    <row r="12" spans="1:16" x14ac:dyDescent="0.3">
      <c r="A12" s="5">
        <v>46155</v>
      </c>
      <c r="B12" s="6">
        <v>1864</v>
      </c>
      <c r="C12" s="6" t="s">
        <v>504</v>
      </c>
      <c r="D12" s="6" t="s">
        <v>505</v>
      </c>
      <c r="E12" s="7">
        <f t="shared" si="0"/>
        <v>10028.700000000001</v>
      </c>
      <c r="F12" s="7">
        <v>10028.700000000001</v>
      </c>
      <c r="G12" s="7"/>
    </row>
    <row r="13" spans="1:16" x14ac:dyDescent="0.3">
      <c r="A13" s="5">
        <v>46163</v>
      </c>
      <c r="B13" s="6">
        <v>34</v>
      </c>
      <c r="C13" s="6" t="s">
        <v>522</v>
      </c>
      <c r="D13" s="6" t="s">
        <v>523</v>
      </c>
      <c r="E13" s="7">
        <f t="shared" si="0"/>
        <v>12000</v>
      </c>
      <c r="F13" s="7"/>
      <c r="G13" s="7">
        <v>12000</v>
      </c>
    </row>
    <row r="14" spans="1:16" x14ac:dyDescent="0.3">
      <c r="A14" s="5">
        <v>46190</v>
      </c>
      <c r="B14" s="6">
        <v>54</v>
      </c>
      <c r="C14" s="6" t="s">
        <v>509</v>
      </c>
      <c r="D14" s="6" t="s">
        <v>535</v>
      </c>
      <c r="E14" s="7">
        <f t="shared" si="0"/>
        <v>20000</v>
      </c>
      <c r="F14" s="7"/>
      <c r="G14" s="7">
        <v>20000</v>
      </c>
    </row>
    <row r="15" spans="1:16" x14ac:dyDescent="0.3">
      <c r="A15" s="5">
        <v>46199</v>
      </c>
      <c r="B15" s="6">
        <v>2461</v>
      </c>
      <c r="C15" s="6" t="s">
        <v>504</v>
      </c>
      <c r="D15" s="6" t="s">
        <v>541</v>
      </c>
      <c r="E15" s="7">
        <f t="shared" si="0"/>
        <v>11901</v>
      </c>
      <c r="F15" s="7">
        <v>11901</v>
      </c>
      <c r="G15" s="7"/>
    </row>
    <row r="16" spans="1:16" x14ac:dyDescent="0.3">
      <c r="A16" s="5">
        <v>46225</v>
      </c>
      <c r="B16" s="6">
        <v>809</v>
      </c>
      <c r="C16" s="6" t="s">
        <v>354</v>
      </c>
      <c r="D16" s="6" t="s">
        <v>560</v>
      </c>
      <c r="E16" s="7">
        <f t="shared" si="0"/>
        <v>85000</v>
      </c>
      <c r="F16" s="7">
        <v>85000</v>
      </c>
      <c r="G16" s="7"/>
    </row>
    <row r="17" spans="1:11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11" x14ac:dyDescent="0.3">
      <c r="A18" s="5"/>
      <c r="B18" s="6"/>
      <c r="C18" s="6"/>
      <c r="D18" s="6"/>
      <c r="E18" s="7">
        <f t="shared" si="0"/>
        <v>0</v>
      </c>
      <c r="F18" s="7"/>
      <c r="G18" s="7"/>
    </row>
    <row r="19" spans="1:11" x14ac:dyDescent="0.3">
      <c r="A19" s="5"/>
      <c r="B19" s="6"/>
      <c r="C19" s="6"/>
      <c r="D19" s="6"/>
      <c r="E19" s="7">
        <f t="shared" si="0"/>
        <v>0</v>
      </c>
      <c r="F19" s="7"/>
      <c r="G19" s="7"/>
    </row>
    <row r="20" spans="1:11" x14ac:dyDescent="0.3">
      <c r="A20" s="5"/>
      <c r="B20" s="6"/>
      <c r="C20" s="6"/>
      <c r="D20" s="6"/>
      <c r="E20" s="7">
        <f t="shared" si="0"/>
        <v>0</v>
      </c>
      <c r="F20" s="7"/>
      <c r="G20" s="7"/>
    </row>
    <row r="21" spans="1:11" x14ac:dyDescent="0.3">
      <c r="A21" s="5"/>
      <c r="B21" s="6"/>
      <c r="C21" s="6"/>
      <c r="D21" s="6"/>
      <c r="E21" s="7">
        <f t="shared" si="0"/>
        <v>0</v>
      </c>
      <c r="F21" s="7"/>
      <c r="G21" s="7"/>
    </row>
    <row r="22" spans="1:11" x14ac:dyDescent="0.3">
      <c r="A22" s="5"/>
      <c r="B22" s="6"/>
      <c r="C22" s="6"/>
      <c r="D22" s="6"/>
      <c r="E22" s="7">
        <f t="shared" si="0"/>
        <v>0</v>
      </c>
      <c r="F22" s="7"/>
      <c r="G22" s="7"/>
    </row>
    <row r="23" spans="1:11" x14ac:dyDescent="0.3">
      <c r="A23" s="6"/>
      <c r="B23" s="6"/>
      <c r="C23" s="6"/>
      <c r="D23" s="6"/>
      <c r="E23" s="7">
        <f>SUM(F23:G23)</f>
        <v>0</v>
      </c>
      <c r="F23" s="7"/>
      <c r="G23" s="7"/>
    </row>
    <row r="24" spans="1:11" x14ac:dyDescent="0.3">
      <c r="A24" s="106" t="s">
        <v>10</v>
      </c>
      <c r="B24" s="106"/>
      <c r="C24" s="106"/>
      <c r="D24" s="8"/>
      <c r="E24" s="9">
        <f>SUM(E6:E23)</f>
        <v>1910737.2</v>
      </c>
      <c r="F24" s="9">
        <f>SUM(F6:F23)</f>
        <v>1539937.2</v>
      </c>
      <c r="G24" s="9">
        <f>SUM(G6:G23)</f>
        <v>370800</v>
      </c>
    </row>
    <row r="26" spans="1:11" x14ac:dyDescent="0.3">
      <c r="K26" s="28"/>
    </row>
    <row r="36" spans="3:3" x14ac:dyDescent="0.3">
      <c r="C36" s="28"/>
    </row>
  </sheetData>
  <mergeCells count="2">
    <mergeCell ref="A24:C24"/>
    <mergeCell ref="A1:B1"/>
  </mergeCells>
  <hyperlinks>
    <hyperlink ref="A1:B1" location="Содержание!A1" display="Содержание!A1" xr:uid="{48AD330F-9378-4A21-9897-F74189ADF9C5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5B84-7194-405D-9E0C-BC72A28E66CA}">
  <sheetPr>
    <tabColor rgb="FF92D050"/>
  </sheetPr>
  <dimension ref="A1:P35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206</v>
      </c>
      <c r="C3" s="23" t="s">
        <v>207</v>
      </c>
      <c r="D3" s="15" t="s">
        <v>208</v>
      </c>
      <c r="E3" s="14">
        <v>2010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45638</v>
      </c>
      <c r="B6" s="6">
        <v>287</v>
      </c>
      <c r="C6" s="6" t="s">
        <v>235</v>
      </c>
      <c r="D6" s="6" t="s">
        <v>236</v>
      </c>
      <c r="E6" s="7">
        <f>SUM(F6:G6)</f>
        <v>128337.5</v>
      </c>
      <c r="F6" s="7">
        <v>128337.5</v>
      </c>
      <c r="G6" s="7"/>
    </row>
    <row r="7" spans="1:16" x14ac:dyDescent="0.3">
      <c r="A7" s="5">
        <v>45643</v>
      </c>
      <c r="B7" s="6">
        <v>762</v>
      </c>
      <c r="C7" s="6" t="s">
        <v>237</v>
      </c>
      <c r="D7" s="6" t="s">
        <v>236</v>
      </c>
      <c r="E7" s="7">
        <f>SUM(F7:G7)</f>
        <v>455360</v>
      </c>
      <c r="F7" s="7">
        <v>455360</v>
      </c>
      <c r="G7" s="7"/>
    </row>
    <row r="8" spans="1:16" x14ac:dyDescent="0.3">
      <c r="A8" s="5">
        <v>45601</v>
      </c>
      <c r="B8" s="6" t="s">
        <v>238</v>
      </c>
      <c r="C8" s="6" t="s">
        <v>239</v>
      </c>
      <c r="D8" s="6" t="s">
        <v>240</v>
      </c>
      <c r="E8" s="7">
        <f>SUM(F8:G8)</f>
        <v>2756776</v>
      </c>
      <c r="F8" s="7">
        <v>2756776</v>
      </c>
      <c r="G8" s="7"/>
    </row>
    <row r="9" spans="1:16" x14ac:dyDescent="0.3">
      <c r="A9" s="5">
        <v>46167</v>
      </c>
      <c r="B9" s="6">
        <v>63</v>
      </c>
      <c r="C9" s="6" t="s">
        <v>520</v>
      </c>
      <c r="D9" s="6" t="s">
        <v>422</v>
      </c>
      <c r="E9" s="7">
        <f t="shared" ref="E9:E20" si="0">SUM(F9:G9)</f>
        <v>53568</v>
      </c>
      <c r="F9" s="7"/>
      <c r="G9" s="7">
        <v>53568</v>
      </c>
    </row>
    <row r="10" spans="1:16" x14ac:dyDescent="0.3">
      <c r="A10" s="5">
        <v>46164</v>
      </c>
      <c r="B10" s="6">
        <v>18</v>
      </c>
      <c r="C10" s="6" t="s">
        <v>509</v>
      </c>
      <c r="D10" s="6" t="s">
        <v>521</v>
      </c>
      <c r="E10" s="7">
        <f t="shared" si="0"/>
        <v>100000</v>
      </c>
      <c r="F10" s="7"/>
      <c r="G10" s="7">
        <v>100000</v>
      </c>
    </row>
    <row r="11" spans="1:16" x14ac:dyDescent="0.3">
      <c r="A11" s="5">
        <v>46169</v>
      </c>
      <c r="B11" s="6">
        <v>40</v>
      </c>
      <c r="C11" s="6" t="s">
        <v>522</v>
      </c>
      <c r="D11" s="6" t="s">
        <v>422</v>
      </c>
      <c r="E11" s="7">
        <f t="shared" si="0"/>
        <v>18000</v>
      </c>
      <c r="F11" s="7"/>
      <c r="G11" s="7">
        <v>18000</v>
      </c>
    </row>
    <row r="12" spans="1:16" x14ac:dyDescent="0.3">
      <c r="A12" s="5">
        <v>46222</v>
      </c>
      <c r="B12" s="6">
        <v>72</v>
      </c>
      <c r="C12" s="6" t="s">
        <v>522</v>
      </c>
      <c r="D12" s="6" t="s">
        <v>422</v>
      </c>
      <c r="E12" s="7">
        <f t="shared" si="0"/>
        <v>20000</v>
      </c>
      <c r="F12" s="7"/>
      <c r="G12" s="7">
        <v>20000</v>
      </c>
    </row>
    <row r="13" spans="1:16" x14ac:dyDescent="0.3">
      <c r="A13" s="5">
        <v>46223</v>
      </c>
      <c r="B13" s="6">
        <v>10657</v>
      </c>
      <c r="C13" s="6" t="s">
        <v>556</v>
      </c>
      <c r="D13" s="6" t="s">
        <v>557</v>
      </c>
      <c r="E13" s="7">
        <f t="shared" si="0"/>
        <v>5140</v>
      </c>
      <c r="F13" s="7">
        <v>5140</v>
      </c>
      <c r="G13" s="7"/>
    </row>
    <row r="14" spans="1:16" x14ac:dyDescent="0.3">
      <c r="A14" s="5">
        <v>46224</v>
      </c>
      <c r="B14" s="6">
        <v>2323</v>
      </c>
      <c r="C14" s="6" t="s">
        <v>368</v>
      </c>
      <c r="D14" s="6" t="s">
        <v>559</v>
      </c>
      <c r="E14" s="7">
        <f t="shared" si="0"/>
        <v>15500</v>
      </c>
      <c r="F14" s="7"/>
      <c r="G14" s="7">
        <v>15500</v>
      </c>
    </row>
    <row r="15" spans="1:16" x14ac:dyDescent="0.3">
      <c r="A15" s="5">
        <v>46225</v>
      </c>
      <c r="B15" s="6">
        <v>320198</v>
      </c>
      <c r="C15" s="6" t="s">
        <v>561</v>
      </c>
      <c r="D15" s="6" t="s">
        <v>334</v>
      </c>
      <c r="E15" s="7">
        <f t="shared" si="0"/>
        <v>28060</v>
      </c>
      <c r="F15" s="7">
        <v>28060</v>
      </c>
      <c r="G15" s="7"/>
    </row>
    <row r="16" spans="1:16" x14ac:dyDescent="0.3">
      <c r="A16" s="5">
        <v>46241</v>
      </c>
      <c r="B16" s="6">
        <v>514</v>
      </c>
      <c r="C16" s="6" t="s">
        <v>577</v>
      </c>
      <c r="D16" s="6" t="s">
        <v>578</v>
      </c>
      <c r="E16" s="7">
        <f t="shared" si="0"/>
        <v>17920</v>
      </c>
      <c r="F16" s="7">
        <v>17920</v>
      </c>
      <c r="G16" s="7"/>
    </row>
    <row r="17" spans="1:7" x14ac:dyDescent="0.3">
      <c r="A17" s="5"/>
      <c r="B17" s="6"/>
      <c r="C17" s="6"/>
      <c r="D17" s="6"/>
      <c r="E17" s="7">
        <f t="shared" si="0"/>
        <v>0</v>
      </c>
      <c r="F17" s="7"/>
      <c r="G17" s="7"/>
    </row>
    <row r="18" spans="1:7" x14ac:dyDescent="0.3">
      <c r="A18" s="5"/>
      <c r="B18" s="6"/>
      <c r="C18" s="6"/>
      <c r="D18" s="6"/>
      <c r="E18" s="7">
        <f t="shared" si="0"/>
        <v>0</v>
      </c>
      <c r="F18" s="7"/>
      <c r="G18" s="7"/>
    </row>
    <row r="19" spans="1:7" x14ac:dyDescent="0.3">
      <c r="A19" s="5"/>
      <c r="B19" s="6"/>
      <c r="C19" s="6"/>
      <c r="D19" s="6"/>
      <c r="E19" s="7">
        <f t="shared" si="0"/>
        <v>0</v>
      </c>
      <c r="F19" s="7"/>
      <c r="G19" s="7"/>
    </row>
    <row r="20" spans="1:7" x14ac:dyDescent="0.3">
      <c r="A20" s="5"/>
      <c r="B20" s="6"/>
      <c r="C20" s="6"/>
      <c r="D20" s="6"/>
      <c r="E20" s="7">
        <f t="shared" si="0"/>
        <v>0</v>
      </c>
      <c r="F20" s="7"/>
      <c r="G20" s="7"/>
    </row>
    <row r="21" spans="1:7" x14ac:dyDescent="0.3">
      <c r="A21" s="6"/>
      <c r="B21" s="6"/>
      <c r="C21" s="6"/>
      <c r="D21" s="6"/>
      <c r="E21" s="7">
        <f>SUM(F21:G21)</f>
        <v>0</v>
      </c>
      <c r="F21" s="7"/>
      <c r="G21" s="7"/>
    </row>
    <row r="22" spans="1:7" x14ac:dyDescent="0.3">
      <c r="A22" s="6"/>
      <c r="B22" s="6"/>
      <c r="C22" s="6"/>
      <c r="D22" s="6"/>
      <c r="E22" s="7">
        <f>SUM(F22:G22)</f>
        <v>0</v>
      </c>
      <c r="F22" s="7"/>
      <c r="G22" s="7"/>
    </row>
    <row r="23" spans="1:7" x14ac:dyDescent="0.3">
      <c r="A23" s="106" t="s">
        <v>10</v>
      </c>
      <c r="B23" s="106"/>
      <c r="C23" s="106"/>
      <c r="D23" s="8"/>
      <c r="E23" s="9">
        <f>SUM(E6:E22)</f>
        <v>3598661.5</v>
      </c>
      <c r="F23" s="9">
        <f>SUM(F6:F22)</f>
        <v>3391593.5</v>
      </c>
      <c r="G23" s="9">
        <f>SUM(G6:G22)</f>
        <v>207068</v>
      </c>
    </row>
    <row r="35" spans="3:3" x14ac:dyDescent="0.3">
      <c r="C35" s="28"/>
    </row>
  </sheetData>
  <mergeCells count="2">
    <mergeCell ref="A23:C23"/>
    <mergeCell ref="A1:B1"/>
  </mergeCells>
  <hyperlinks>
    <hyperlink ref="A1:B1" location="Содержание!A1" display="Содержание!A1" xr:uid="{FB57A382-D218-4417-9421-C99B8C7786D8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BFDB-660B-45B9-811D-6C850C705FE6}">
  <sheetPr>
    <tabColor rgb="FF92D05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22.8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3" t="s">
        <v>209</v>
      </c>
      <c r="C3" s="13" t="s">
        <v>210</v>
      </c>
      <c r="D3" s="32" t="s">
        <v>211</v>
      </c>
      <c r="E3" s="13">
        <v>2018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>
        <v>45645</v>
      </c>
      <c r="B6" s="6">
        <v>251</v>
      </c>
      <c r="C6" s="6" t="s">
        <v>241</v>
      </c>
      <c r="D6" s="6" t="s">
        <v>242</v>
      </c>
      <c r="E6" s="7">
        <f>SUM(F6:G6)</f>
        <v>935000</v>
      </c>
      <c r="F6" s="7">
        <v>935000</v>
      </c>
      <c r="G6" s="7"/>
    </row>
    <row r="7" spans="1:16" x14ac:dyDescent="0.3">
      <c r="A7" s="5">
        <v>45639</v>
      </c>
      <c r="B7" s="6">
        <v>7726</v>
      </c>
      <c r="C7" s="6" t="s">
        <v>243</v>
      </c>
      <c r="D7" s="6" t="s">
        <v>305</v>
      </c>
      <c r="E7" s="7">
        <f>SUM(F7:G7)</f>
        <v>335000</v>
      </c>
      <c r="F7" s="7">
        <v>335000</v>
      </c>
      <c r="G7" s="7"/>
    </row>
    <row r="8" spans="1:16" x14ac:dyDescent="0.3">
      <c r="A8" s="5">
        <v>45646</v>
      </c>
      <c r="B8" s="6">
        <v>766</v>
      </c>
      <c r="C8" s="6" t="s">
        <v>237</v>
      </c>
      <c r="D8" s="6" t="s">
        <v>236</v>
      </c>
      <c r="E8" s="7">
        <f>SUM(F8:G8)</f>
        <v>1524250</v>
      </c>
      <c r="F8" s="7">
        <v>1524250</v>
      </c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2794250</v>
      </c>
      <c r="F11" s="9">
        <f>SUM(F6:F10)</f>
        <v>2794250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0DF7F640-94B1-401E-8FE0-17C405A48814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3B57-287D-421F-9D9A-080E951B860F}">
  <sheetPr>
    <tabColor rgb="FF92D050"/>
  </sheetPr>
  <dimension ref="A1:P23"/>
  <sheetViews>
    <sheetView workbookViewId="0">
      <selection sqref="A1:B1"/>
    </sheetView>
  </sheetViews>
  <sheetFormatPr defaultRowHeight="14.4" x14ac:dyDescent="0.3"/>
  <cols>
    <col min="1" max="1" width="10.109375" style="2" customWidth="1"/>
    <col min="2" max="2" width="17.5546875" style="2" customWidth="1"/>
    <col min="3" max="3" width="30.33203125" style="2" customWidth="1"/>
    <col min="4" max="4" width="24.44140625" style="2" customWidth="1"/>
    <col min="5" max="5" width="10.44140625" style="2" customWidth="1"/>
    <col min="6" max="6" width="11.88671875" style="2" customWidth="1"/>
    <col min="7" max="7" width="10.44140625" style="2" customWidth="1"/>
    <col min="8" max="16" width="8.88671875" style="2"/>
  </cols>
  <sheetData>
    <row r="1" spans="1:16" ht="19.2" customHeight="1" x14ac:dyDescent="0.3">
      <c r="A1" s="107" t="s">
        <v>231</v>
      </c>
      <c r="B1" s="107"/>
    </row>
    <row r="2" spans="1:16" hidden="1" x14ac:dyDescent="0.3"/>
    <row r="3" spans="1:16" ht="30.6" customHeight="1" x14ac:dyDescent="0.3">
      <c r="B3" s="14" t="s">
        <v>212</v>
      </c>
      <c r="C3" s="13" t="s">
        <v>213</v>
      </c>
      <c r="D3" s="32" t="s">
        <v>211</v>
      </c>
      <c r="E3" s="14">
        <v>2019</v>
      </c>
    </row>
    <row r="5" spans="1:16" s="1" customFormat="1" ht="39.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9</v>
      </c>
      <c r="G5" s="4" t="s">
        <v>8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5"/>
      <c r="B6" s="6"/>
      <c r="C6" s="6"/>
      <c r="D6" s="6"/>
      <c r="E6" s="7">
        <f>SUM(F6:G6)</f>
        <v>0</v>
      </c>
      <c r="F6" s="7"/>
      <c r="G6" s="7"/>
    </row>
    <row r="7" spans="1:16" x14ac:dyDescent="0.3">
      <c r="A7" s="5"/>
      <c r="B7" s="6"/>
      <c r="C7" s="6"/>
      <c r="D7" s="6"/>
      <c r="E7" s="7">
        <f>SUM(F7:G7)</f>
        <v>0</v>
      </c>
      <c r="F7" s="7"/>
      <c r="G7" s="7"/>
    </row>
    <row r="8" spans="1:16" x14ac:dyDescent="0.3">
      <c r="A8" s="6"/>
      <c r="B8" s="6"/>
      <c r="C8" s="6"/>
      <c r="D8" s="6"/>
      <c r="E8" s="7">
        <f>SUM(F8:G8)</f>
        <v>0</v>
      </c>
      <c r="F8" s="7"/>
      <c r="G8" s="7"/>
    </row>
    <row r="9" spans="1:16" x14ac:dyDescent="0.3">
      <c r="A9" s="6"/>
      <c r="B9" s="6"/>
      <c r="C9" s="6"/>
      <c r="D9" s="6"/>
      <c r="E9" s="7">
        <f>SUM(F9:G9)</f>
        <v>0</v>
      </c>
      <c r="F9" s="7"/>
      <c r="G9" s="7"/>
    </row>
    <row r="10" spans="1:16" x14ac:dyDescent="0.3">
      <c r="A10" s="6"/>
      <c r="B10" s="6"/>
      <c r="C10" s="6"/>
      <c r="D10" s="6"/>
      <c r="E10" s="7">
        <f>SUM(F10:G10)</f>
        <v>0</v>
      </c>
      <c r="F10" s="7"/>
      <c r="G10" s="7"/>
    </row>
    <row r="11" spans="1:16" x14ac:dyDescent="0.3">
      <c r="A11" s="106" t="s">
        <v>10</v>
      </c>
      <c r="B11" s="106"/>
      <c r="C11" s="106"/>
      <c r="D11" s="8"/>
      <c r="E11" s="9">
        <f>SUM(E6:E10)</f>
        <v>0</v>
      </c>
      <c r="F11" s="9">
        <f>SUM(F6:F10)</f>
        <v>0</v>
      </c>
      <c r="G11" s="9">
        <f>SUM(G6:G10)</f>
        <v>0</v>
      </c>
    </row>
    <row r="23" spans="3:3" x14ac:dyDescent="0.3">
      <c r="C23" s="28"/>
    </row>
  </sheetData>
  <mergeCells count="2">
    <mergeCell ref="A11:C11"/>
    <mergeCell ref="A1:B1"/>
  </mergeCells>
  <hyperlinks>
    <hyperlink ref="A1:B1" location="Содержание!A1" display="Содержание!A1" xr:uid="{84975B80-A3AE-46C8-8EE8-27B4239340E1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76</vt:i4>
      </vt:variant>
    </vt:vector>
  </HeadingPairs>
  <TitlesOfParts>
    <vt:vector size="76" baseType="lpstr">
      <vt:lpstr>Содержание</vt:lpstr>
      <vt:lpstr>нива</vt:lpstr>
      <vt:lpstr>шкода</vt:lpstr>
      <vt:lpstr>Camry</vt:lpstr>
      <vt:lpstr>ЛК002</vt:lpstr>
      <vt:lpstr>Geely</vt:lpstr>
      <vt:lpstr>Haval</vt:lpstr>
      <vt:lpstr>LR-RR </vt:lpstr>
      <vt:lpstr>VW </vt:lpstr>
      <vt:lpstr>Kia</vt:lpstr>
      <vt:lpstr>Г 035</vt:lpstr>
      <vt:lpstr>Г 171</vt:lpstr>
      <vt:lpstr>Г 456</vt:lpstr>
      <vt:lpstr>Г 189</vt:lpstr>
      <vt:lpstr>Г 503</vt:lpstr>
      <vt:lpstr>Г 789</vt:lpstr>
      <vt:lpstr>Г 900</vt:lpstr>
      <vt:lpstr>Г 908</vt:lpstr>
      <vt:lpstr>Г 982</vt:lpstr>
      <vt:lpstr>FT 335</vt:lpstr>
      <vt:lpstr>FT 344</vt:lpstr>
      <vt:lpstr>FT 390</vt:lpstr>
      <vt:lpstr>FT 479</vt:lpstr>
      <vt:lpstr>FT 680</vt:lpstr>
      <vt:lpstr>FT 978</vt:lpstr>
      <vt:lpstr>Foton</vt:lpstr>
      <vt:lpstr>КО</vt:lpstr>
      <vt:lpstr>Гудронатор</vt:lpstr>
      <vt:lpstr>К 487</vt:lpstr>
      <vt:lpstr>К 877</vt:lpstr>
      <vt:lpstr>К 927</vt:lpstr>
      <vt:lpstr>К 983</vt:lpstr>
      <vt:lpstr>К 994</vt:lpstr>
      <vt:lpstr>SH 152</vt:lpstr>
      <vt:lpstr>SH 265</vt:lpstr>
      <vt:lpstr>SH 287</vt:lpstr>
      <vt:lpstr>К 320</vt:lpstr>
      <vt:lpstr>SH 989</vt:lpstr>
      <vt:lpstr>Sitrak</vt:lpstr>
      <vt:lpstr>Scania</vt:lpstr>
      <vt:lpstr>Specpricep</vt:lpstr>
      <vt:lpstr>Sinanli</vt:lpstr>
      <vt:lpstr>Ensign 8102</vt:lpstr>
      <vt:lpstr>Ensign 8101</vt:lpstr>
      <vt:lpstr>XCMG</vt:lpstr>
      <vt:lpstr>Case 4294</vt:lpstr>
      <vt:lpstr>Case 7010</vt:lpstr>
      <vt:lpstr>Case 580</vt:lpstr>
      <vt:lpstr>Case 570</vt:lpstr>
      <vt:lpstr>CAT 428</vt:lpstr>
      <vt:lpstr>CAT 432</vt:lpstr>
      <vt:lpstr>МТЗ 82</vt:lpstr>
      <vt:lpstr>Sanny 55</vt:lpstr>
      <vt:lpstr>Sanny 75</vt:lpstr>
      <vt:lpstr>Sanny 9524</vt:lpstr>
      <vt:lpstr>Sanny 9525</vt:lpstr>
      <vt:lpstr>Sanny 6820</vt:lpstr>
      <vt:lpstr>Sanny 7013</vt:lpstr>
      <vt:lpstr>CAT 318</vt:lpstr>
      <vt:lpstr>Sanny 330</vt:lpstr>
      <vt:lpstr>Liugong</vt:lpstr>
      <vt:lpstr>Ammann 4897</vt:lpstr>
      <vt:lpstr>Amann 7057</vt:lpstr>
      <vt:lpstr>Ammann 7011</vt:lpstr>
      <vt:lpstr>Hamm 4698</vt:lpstr>
      <vt:lpstr>Hamm 4897</vt:lpstr>
      <vt:lpstr>ZDM 9579</vt:lpstr>
      <vt:lpstr>ZDM 9580</vt:lpstr>
      <vt:lpstr>BW 161</vt:lpstr>
      <vt:lpstr>Vogel 6821</vt:lpstr>
      <vt:lpstr>Vogel 5812</vt:lpstr>
      <vt:lpstr>Vogel 7351</vt:lpstr>
      <vt:lpstr>W 210</vt:lpstr>
      <vt:lpstr>W 200</vt:lpstr>
      <vt:lpstr>CAT 8497</vt:lpstr>
      <vt:lpstr>CAT 6778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пк</cp:lastModifiedBy>
  <cp:lastPrinted>2026-01-28T09:31:28Z</cp:lastPrinted>
  <dcterms:created xsi:type="dcterms:W3CDTF">2015-06-05T18:19:34Z</dcterms:created>
  <dcterms:modified xsi:type="dcterms:W3CDTF">2026-09-08T07:57:31Z</dcterms:modified>
</cp:coreProperties>
</file>